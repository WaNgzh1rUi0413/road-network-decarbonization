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PycharmProjects\NC_new\data\"/>
    </mc:Choice>
  </mc:AlternateContent>
  <xr:revisionPtr revIDLastSave="0" documentId="13_ncr:1_{1947A291-77F0-4431-BD93-660CA4E832FE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3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2" i="8"/>
</calcChain>
</file>

<file path=xl/sharedStrings.xml><?xml version="1.0" encoding="utf-8"?>
<sst xmlns="http://schemas.openxmlformats.org/spreadsheetml/2006/main" count="448" uniqueCount="214">
  <si>
    <t>NO</t>
  </si>
  <si>
    <t>City</t>
  </si>
  <si>
    <t>Country</t>
  </si>
  <si>
    <t>cluster</t>
  </si>
  <si>
    <t>Continent</t>
  </si>
  <si>
    <t>Average degree</t>
  </si>
  <si>
    <t>Clustering coefficient</t>
  </si>
  <si>
    <t>Transitivity</t>
  </si>
  <si>
    <t>Pearson degree correlation</t>
  </si>
  <si>
    <t>Density</t>
  </si>
  <si>
    <t>Average node strength</t>
  </si>
  <si>
    <t>Characteristic path length</t>
  </si>
  <si>
    <t>Efficiency</t>
  </si>
  <si>
    <t>Normalized carbon emissions_OD</t>
  </si>
  <si>
    <t>Beijing</t>
  </si>
  <si>
    <t>China</t>
  </si>
  <si>
    <t>Asia</t>
  </si>
  <si>
    <t>Shanghai</t>
  </si>
  <si>
    <t>Guangzhou</t>
  </si>
  <si>
    <t>Shenzhen</t>
  </si>
  <si>
    <t>Chengdu</t>
  </si>
  <si>
    <t>Hangzhou</t>
  </si>
  <si>
    <t>Chongqing</t>
  </si>
  <si>
    <t>Zhengzhou</t>
  </si>
  <si>
    <t>Suzhou</t>
  </si>
  <si>
    <t>Tianjin</t>
  </si>
  <si>
    <t>Wuhan</t>
  </si>
  <si>
    <t>Nanjing</t>
  </si>
  <si>
    <t>Xi’an</t>
  </si>
  <si>
    <t>Qingdao</t>
  </si>
  <si>
    <t>Shenyang</t>
  </si>
  <si>
    <t>Xiamen</t>
  </si>
  <si>
    <t>Kunming</t>
  </si>
  <si>
    <t>Hefei</t>
  </si>
  <si>
    <t>Changsha</t>
  </si>
  <si>
    <t>Dalian</t>
  </si>
  <si>
    <t>Changchun</t>
  </si>
  <si>
    <t>Taiyuan</t>
  </si>
  <si>
    <t>Harbin</t>
  </si>
  <si>
    <t>Jinan</t>
  </si>
  <si>
    <t>Urumqi</t>
  </si>
  <si>
    <t>Fuzhou</t>
  </si>
  <si>
    <t>Ningbo</t>
  </si>
  <si>
    <t>Nanning</t>
  </si>
  <si>
    <t>Nanchang</t>
  </si>
  <si>
    <t>Guiyang</t>
  </si>
  <si>
    <t>Haikou</t>
  </si>
  <si>
    <t>Shijiazhuang</t>
  </si>
  <si>
    <t>Xining</t>
  </si>
  <si>
    <t>Yinchuan</t>
  </si>
  <si>
    <t>Hohhot</t>
  </si>
  <si>
    <t>Lanzhou</t>
  </si>
  <si>
    <t>Lhasa</t>
  </si>
  <si>
    <t>Taipei</t>
  </si>
  <si>
    <t>Hong Kong</t>
  </si>
  <si>
    <t>Macau</t>
  </si>
  <si>
    <t>Pyongyang</t>
  </si>
  <si>
    <t>Democratic People's Republic of Korea</t>
  </si>
  <si>
    <t>Seoul</t>
  </si>
  <si>
    <t>South Korea</t>
  </si>
  <si>
    <t>Osaka</t>
  </si>
  <si>
    <t>Japan</t>
  </si>
  <si>
    <t>Tokyo</t>
  </si>
  <si>
    <t>Singapore</t>
  </si>
  <si>
    <t>Manila</t>
  </si>
  <si>
    <t>Philippines</t>
  </si>
  <si>
    <t>Bangkok</t>
  </si>
  <si>
    <t>Thailand</t>
  </si>
  <si>
    <t>Tehran</t>
  </si>
  <si>
    <t>Iran</t>
  </si>
  <si>
    <t>Mumbai</t>
  </si>
  <si>
    <t>India</t>
  </si>
  <si>
    <t>Dubai</t>
  </si>
  <si>
    <t>UAE</t>
  </si>
  <si>
    <t>London</t>
  </si>
  <si>
    <t>UK</t>
  </si>
  <si>
    <t>Europe</t>
  </si>
  <si>
    <t>Manchester</t>
  </si>
  <si>
    <t>Warsaw</t>
  </si>
  <si>
    <t>Poland</t>
  </si>
  <si>
    <t>Copenhagen</t>
  </si>
  <si>
    <t>Denmark</t>
  </si>
  <si>
    <t>Berlin</t>
  </si>
  <si>
    <t>Germany</t>
  </si>
  <si>
    <t>Moscow</t>
  </si>
  <si>
    <t>Russia</t>
  </si>
  <si>
    <t>Paris</t>
  </si>
  <si>
    <t>France</t>
  </si>
  <si>
    <t>Amsterdam</t>
  </si>
  <si>
    <t>Netherlands</t>
  </si>
  <si>
    <t>Lisbon</t>
  </si>
  <si>
    <t>Portugal</t>
  </si>
  <si>
    <t>Stockholm</t>
  </si>
  <si>
    <t>Sweden</t>
  </si>
  <si>
    <t>Bern</t>
  </si>
  <si>
    <t>Switzerland</t>
  </si>
  <si>
    <t>Zurich</t>
  </si>
  <si>
    <t>Madrid</t>
  </si>
  <si>
    <t>Spain</t>
  </si>
  <si>
    <t>Athens</t>
  </si>
  <si>
    <t>Greece</t>
  </si>
  <si>
    <t>Rome</t>
  </si>
  <si>
    <t>Italy</t>
  </si>
  <si>
    <t>Toronto</t>
  </si>
  <si>
    <t>Canada</t>
  </si>
  <si>
    <t>North America</t>
  </si>
  <si>
    <t>Vancouver</t>
  </si>
  <si>
    <t>New York</t>
  </si>
  <si>
    <t>Los Angeles</t>
  </si>
  <si>
    <t>Chicago</t>
  </si>
  <si>
    <t>Houston</t>
  </si>
  <si>
    <t>Phoenix</t>
  </si>
  <si>
    <t>Philadelphia</t>
  </si>
  <si>
    <t>Santiago</t>
  </si>
  <si>
    <t>Chile</t>
  </si>
  <si>
    <t>South America</t>
  </si>
  <si>
    <t>Dallas</t>
  </si>
  <si>
    <t>San Jose</t>
  </si>
  <si>
    <t>Detroit</t>
  </si>
  <si>
    <t>Boston</t>
  </si>
  <si>
    <t>Washington</t>
  </si>
  <si>
    <t>Miami</t>
  </si>
  <si>
    <t>Seattle</t>
  </si>
  <si>
    <t>Denver</t>
  </si>
  <si>
    <t>Baltimore</t>
  </si>
  <si>
    <t>Cleveland</t>
  </si>
  <si>
    <t>Minneapolis</t>
  </si>
  <si>
    <t>Atlanta</t>
  </si>
  <si>
    <t>Melbourne</t>
  </si>
  <si>
    <t>Australia</t>
  </si>
  <si>
    <t>Oceania</t>
  </si>
  <si>
    <t>Sydney</t>
  </si>
  <si>
    <t>Wellington</t>
  </si>
  <si>
    <t>New Zealand</t>
  </si>
  <si>
    <t>Normalized carbon emissions_3OD</t>
    <phoneticPr fontId="2" type="noConversion"/>
  </si>
  <si>
    <t>Normalized carbon emissions_4OD</t>
    <phoneticPr fontId="2" type="noConversion"/>
  </si>
  <si>
    <t>Normalized carbon emissions_10OD</t>
    <phoneticPr fontId="2" type="noConversion"/>
  </si>
  <si>
    <t>Normalized carbon emissions_9OD</t>
    <phoneticPr fontId="2" type="noConversion"/>
  </si>
  <si>
    <t>Normalized carbon emissions_8OD</t>
    <phoneticPr fontId="2" type="noConversion"/>
  </si>
  <si>
    <t>Normalized carbon emissions_7OD</t>
    <phoneticPr fontId="2" type="noConversion"/>
  </si>
  <si>
    <t>Normalized carbon emissions_6OD</t>
    <phoneticPr fontId="2" type="noConversion"/>
  </si>
  <si>
    <t>Normalized carbon emissions_5OD</t>
    <phoneticPr fontId="2" type="noConversion"/>
  </si>
  <si>
    <t>Average speed limit</t>
    <phoneticPr fontId="3" type="noConversion"/>
  </si>
  <si>
    <t>Average capacity</t>
    <phoneticPr fontId="3" type="noConversion"/>
  </si>
  <si>
    <t>Normalized carbon emissions_2OD</t>
    <phoneticPr fontId="2" type="noConversion"/>
  </si>
  <si>
    <t>Node Num</t>
    <phoneticPr fontId="2" type="noConversion"/>
  </si>
  <si>
    <t>Edge Num</t>
    <phoneticPr fontId="2" type="noConversion"/>
  </si>
  <si>
    <t>San Francisco</t>
  </si>
  <si>
    <t>United States</t>
  </si>
  <si>
    <t>Las Vegas</t>
  </si>
  <si>
    <t>Portland</t>
  </si>
  <si>
    <t>Austin</t>
  </si>
  <si>
    <t>New Orleans</t>
  </si>
  <si>
    <t>Nashville</t>
  </si>
  <si>
    <t>Kansas City</t>
  </si>
  <si>
    <t>Indianapolis</t>
  </si>
  <si>
    <t>Columbus</t>
  </si>
  <si>
    <t>Charlotte</t>
  </si>
  <si>
    <t>Raleigh</t>
  </si>
  <si>
    <t>Sacramento</t>
  </si>
  <si>
    <t>Pittsburgh</t>
  </si>
  <si>
    <t>Cincinnati</t>
  </si>
  <si>
    <t>Milwaukee</t>
  </si>
  <si>
    <t>Providence</t>
  </si>
  <si>
    <t>Hartford</t>
  </si>
  <si>
    <t>Salt Lake City</t>
  </si>
  <si>
    <t>Orlando</t>
  </si>
  <si>
    <t>Richmond</t>
  </si>
  <si>
    <t>Mexico City</t>
  </si>
  <si>
    <t>Mexico</t>
  </si>
  <si>
    <t>Brasília</t>
  </si>
  <si>
    <t>Brazil</t>
  </si>
  <si>
    <t>Vienna</t>
  </si>
  <si>
    <t>Austria</t>
  </si>
  <si>
    <t>Oslo</t>
  </si>
  <si>
    <t>Norway</t>
  </si>
  <si>
    <t>Hamburg</t>
  </si>
  <si>
    <t>Geneva</t>
  </si>
  <si>
    <t>Munich</t>
  </si>
  <si>
    <t>Cairo</t>
  </si>
  <si>
    <t>Egypt</t>
  </si>
  <si>
    <t>Africa</t>
  </si>
  <si>
    <t>Cape Town</t>
  </si>
  <si>
    <t>South Africa</t>
  </si>
  <si>
    <t>Milan</t>
  </si>
  <si>
    <t>Brussels</t>
  </si>
  <si>
    <t>Belgium</t>
  </si>
  <si>
    <t>Frankfurt</t>
  </si>
  <si>
    <t>Barcelona</t>
  </si>
  <si>
    <t>Rotterdam</t>
  </si>
  <si>
    <t>Edinburgh</t>
  </si>
  <si>
    <t>United Kingdom</t>
  </si>
  <si>
    <t>Lausanne</t>
  </si>
  <si>
    <t>Reykjavík</t>
  </si>
  <si>
    <t>Iceland</t>
  </si>
  <si>
    <t>Budapest</t>
  </si>
  <si>
    <t>Hungary</t>
  </si>
  <si>
    <t>Bristol</t>
  </si>
  <si>
    <t>Florence</t>
  </si>
  <si>
    <t>Helsinki</t>
  </si>
  <si>
    <t>Finland</t>
  </si>
  <si>
    <t>Birmingham</t>
  </si>
  <si>
    <t>Liverpool</t>
  </si>
  <si>
    <t>Marseille</t>
  </si>
  <si>
    <t>Prague</t>
  </si>
  <si>
    <t>Czech Republic</t>
  </si>
  <si>
    <t>Lyon</t>
  </si>
  <si>
    <t>Dublin</t>
  </si>
  <si>
    <t>Ireland</t>
  </si>
  <si>
    <t>Oxford</t>
  </si>
  <si>
    <t>Valencia</t>
  </si>
  <si>
    <t>San Antonio</t>
    <phoneticPr fontId="4" type="noConversion"/>
  </si>
  <si>
    <t>San Diego</t>
    <phoneticPr fontId="4" type="noConversion"/>
  </si>
  <si>
    <t>kind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</si>
</sst>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www.wps.cn/officeDocument/2021/sharedlinks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A9DD-9178-47C5-94B4-BB9082A013A8}">
  <dimension ref="A1:AB143"/>
  <sheetViews>
    <sheetView tabSelected="1" zoomScale="115" zoomScaleNormal="115" workbookViewId="0">
      <selection activeCell="A69" sqref="A69:XFD69"/>
    </sheetView>
  </sheetViews>
  <sheetFormatPr defaultRowHeight="14" x14ac:dyDescent="0.25"/>
  <cols>
    <col min="2" max="2" width="21.90625" customWidth="1"/>
    <col min="3" max="3" width="21" customWidth="1"/>
    <col min="4" max="4" width="8.7265625" style="1" customWidth="1"/>
    <col min="5" max="18" width="8.7265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213</v>
      </c>
      <c r="F1" s="1" t="s">
        <v>4</v>
      </c>
      <c r="G1" s="1" t="s">
        <v>145</v>
      </c>
      <c r="H1" s="1" t="s">
        <v>146</v>
      </c>
      <c r="I1" s="3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4" t="s">
        <v>12</v>
      </c>
      <c r="Q1" s="1" t="s">
        <v>143</v>
      </c>
      <c r="R1" s="1" t="s">
        <v>142</v>
      </c>
      <c r="S1" s="1" t="s">
        <v>13</v>
      </c>
      <c r="T1" s="1" t="s">
        <v>144</v>
      </c>
      <c r="U1" s="1" t="s">
        <v>134</v>
      </c>
      <c r="V1" s="1" t="s">
        <v>135</v>
      </c>
      <c r="W1" s="1" t="s">
        <v>141</v>
      </c>
      <c r="X1" s="1" t="s">
        <v>140</v>
      </c>
      <c r="Y1" s="1" t="s">
        <v>139</v>
      </c>
      <c r="Z1" s="1" t="s">
        <v>138</v>
      </c>
      <c r="AA1" s="1" t="s">
        <v>137</v>
      </c>
      <c r="AB1" s="1" t="s">
        <v>136</v>
      </c>
    </row>
    <row r="2" spans="1:28" x14ac:dyDescent="0.3">
      <c r="A2" s="1">
        <v>1</v>
      </c>
      <c r="B2" s="2" t="s">
        <v>14</v>
      </c>
      <c r="C2" s="1" t="s">
        <v>15</v>
      </c>
      <c r="D2" s="2">
        <v>0</v>
      </c>
      <c r="E2" s="2" t="str">
        <f>IF(D2=0,"sensitive","resilient")</f>
        <v>sensitive</v>
      </c>
      <c r="F2" s="1" t="s">
        <v>16</v>
      </c>
      <c r="G2" s="5">
        <v>298</v>
      </c>
      <c r="H2" s="5">
        <v>534</v>
      </c>
      <c r="I2" s="6">
        <v>3.5838926174496599</v>
      </c>
      <c r="J2" s="5">
        <v>2.7641439995670401E-2</v>
      </c>
      <c r="K2" s="5">
        <v>8.6705202312138699E-2</v>
      </c>
      <c r="L2" s="5">
        <v>-1.5945977712951101E-2</v>
      </c>
      <c r="M2" s="5">
        <v>1.2066978509931501E-2</v>
      </c>
      <c r="N2" s="6">
        <v>912.71520273385897</v>
      </c>
      <c r="O2" s="6">
        <v>0.41517640016199198</v>
      </c>
      <c r="P2" s="6">
        <v>3.5412960919609602</v>
      </c>
      <c r="Q2" s="1">
        <v>2875.6554307116098</v>
      </c>
      <c r="R2" s="1">
        <v>16.7738951310861</v>
      </c>
      <c r="S2" s="7">
        <v>0.147897</v>
      </c>
      <c r="T2" s="7">
        <v>0.15684799999999999</v>
      </c>
      <c r="U2" s="7">
        <v>0.16959199999999999</v>
      </c>
      <c r="V2" s="7">
        <v>0.18171499999999999</v>
      </c>
      <c r="W2" s="7">
        <v>0.19332099999999999</v>
      </c>
      <c r="X2" s="7">
        <v>0.204676</v>
      </c>
      <c r="Y2" s="7">
        <v>0.218196</v>
      </c>
      <c r="Z2" s="7">
        <v>0.23188600000000001</v>
      </c>
      <c r="AA2" s="7">
        <v>0.24340800000000001</v>
      </c>
      <c r="AB2" s="7">
        <v>0.25342199999999998</v>
      </c>
    </row>
    <row r="3" spans="1:28" x14ac:dyDescent="0.3">
      <c r="A3" s="1">
        <v>2</v>
      </c>
      <c r="B3" s="2" t="s">
        <v>17</v>
      </c>
      <c r="C3" s="1" t="s">
        <v>15</v>
      </c>
      <c r="D3" s="2">
        <v>1</v>
      </c>
      <c r="E3" s="2" t="str">
        <f t="shared" ref="E3:E66" si="0">IF(D3=0,"sensitive","resilient")</f>
        <v>resilient</v>
      </c>
      <c r="F3" s="1" t="s">
        <v>16</v>
      </c>
      <c r="G3" s="5">
        <v>187</v>
      </c>
      <c r="H3" s="5">
        <v>341</v>
      </c>
      <c r="I3" s="6">
        <v>3.6470588235294099</v>
      </c>
      <c r="J3" s="5">
        <v>4.1685053416198898E-3</v>
      </c>
      <c r="K3" s="6">
        <v>5.7203389830508398E-2</v>
      </c>
      <c r="L3" s="6">
        <v>0.121200890457525</v>
      </c>
      <c r="M3" s="5">
        <v>1.9607843137254902E-2</v>
      </c>
      <c r="N3" s="6">
        <v>1018.8309188763</v>
      </c>
      <c r="O3" s="6">
        <v>0.34457434389526798</v>
      </c>
      <c r="P3" s="6">
        <v>4.4253841044760502</v>
      </c>
      <c r="Q3" s="1">
        <v>4252.8985507246298</v>
      </c>
      <c r="R3" s="1">
        <v>19.145478260869499</v>
      </c>
      <c r="S3" s="7">
        <v>0.12887199999999999</v>
      </c>
      <c r="T3" s="7">
        <v>0.134876</v>
      </c>
      <c r="U3" s="7">
        <v>0.14454900000000001</v>
      </c>
      <c r="V3" s="7">
        <v>0.15612400000000001</v>
      </c>
      <c r="W3" s="7">
        <v>0.17105899999999999</v>
      </c>
      <c r="X3" s="7">
        <v>0.18750900000000001</v>
      </c>
      <c r="Y3" s="7">
        <v>0.204176</v>
      </c>
      <c r="Z3" s="7">
        <v>0.21736800000000001</v>
      </c>
      <c r="AA3" s="7">
        <v>0.230133</v>
      </c>
      <c r="AB3" s="7">
        <v>0.241676</v>
      </c>
    </row>
    <row r="4" spans="1:28" x14ac:dyDescent="0.3">
      <c r="A4" s="1">
        <v>3</v>
      </c>
      <c r="B4" s="2" t="s">
        <v>18</v>
      </c>
      <c r="C4" s="1" t="s">
        <v>15</v>
      </c>
      <c r="D4" s="2">
        <v>0</v>
      </c>
      <c r="E4" s="2" t="str">
        <f t="shared" si="0"/>
        <v>sensitive</v>
      </c>
      <c r="F4" s="1" t="s">
        <v>16</v>
      </c>
      <c r="G4" s="5">
        <v>338</v>
      </c>
      <c r="H4" s="5">
        <v>593</v>
      </c>
      <c r="I4" s="6">
        <v>3.5088757396449699</v>
      </c>
      <c r="J4" s="6">
        <v>1.28349830050136E-2</v>
      </c>
      <c r="K4" s="6">
        <v>0.101004134672179</v>
      </c>
      <c r="L4" s="5">
        <v>-5.9545155479133798E-2</v>
      </c>
      <c r="M4" s="5">
        <v>1.04120941829227E-2</v>
      </c>
      <c r="N4" s="6">
        <v>826.70347347905999</v>
      </c>
      <c r="O4" s="6">
        <v>0.36832158594780101</v>
      </c>
      <c r="P4" s="6">
        <v>4.1755198110343397</v>
      </c>
      <c r="Q4" s="1">
        <v>2922</v>
      </c>
      <c r="R4" s="1">
        <v>16.8827</v>
      </c>
      <c r="S4" s="7">
        <v>0.14599400000000001</v>
      </c>
      <c r="T4" s="7">
        <v>0.16145399999999999</v>
      </c>
      <c r="U4" s="7">
        <v>0.174152</v>
      </c>
      <c r="V4" s="7">
        <v>0.18756800000000001</v>
      </c>
      <c r="W4" s="7">
        <v>0.203213</v>
      </c>
      <c r="X4" s="7">
        <v>0.21823799999999999</v>
      </c>
      <c r="Y4" s="7">
        <v>0.232381</v>
      </c>
      <c r="Z4" s="7">
        <v>0.24579699999999999</v>
      </c>
      <c r="AA4" s="7">
        <v>0.25727499999999998</v>
      </c>
      <c r="AB4" s="7">
        <v>0.26667999999999997</v>
      </c>
    </row>
    <row r="5" spans="1:28" x14ac:dyDescent="0.3">
      <c r="A5" s="1">
        <v>4</v>
      </c>
      <c r="B5" s="2" t="s">
        <v>19</v>
      </c>
      <c r="C5" s="1" t="s">
        <v>15</v>
      </c>
      <c r="D5" s="2">
        <v>0</v>
      </c>
      <c r="E5" s="2" t="str">
        <f t="shared" si="0"/>
        <v>sensitive</v>
      </c>
      <c r="F5" s="1" t="s">
        <v>16</v>
      </c>
      <c r="G5" s="5">
        <v>363</v>
      </c>
      <c r="H5" s="5">
        <v>639</v>
      </c>
      <c r="I5" s="6">
        <v>3.5206611570247901</v>
      </c>
      <c r="J5" s="6">
        <v>2.1215243052828101E-2</v>
      </c>
      <c r="K5" s="5">
        <v>9.71459934138309E-2</v>
      </c>
      <c r="L5" s="6">
        <v>2.7502486037553699E-2</v>
      </c>
      <c r="M5" s="5">
        <v>9.7255833066983207E-3</v>
      </c>
      <c r="N5" s="6">
        <v>762.37812741185496</v>
      </c>
      <c r="O5" s="6">
        <v>0.39149015933284598</v>
      </c>
      <c r="P5" s="6">
        <v>3.66248121753955</v>
      </c>
      <c r="Q5" s="1">
        <v>3362.6365054602102</v>
      </c>
      <c r="R5" s="1">
        <v>17.630608424336899</v>
      </c>
      <c r="S5" s="7">
        <v>0.135741</v>
      </c>
      <c r="T5" s="7">
        <v>0.141709</v>
      </c>
      <c r="U5" s="7">
        <v>0.14804700000000001</v>
      </c>
      <c r="V5" s="7">
        <v>0.156751</v>
      </c>
      <c r="W5" s="7">
        <v>0.17433799999999999</v>
      </c>
      <c r="X5" s="7">
        <v>0.18010399999999999</v>
      </c>
      <c r="Y5" s="7">
        <v>0.198406</v>
      </c>
      <c r="Z5" s="7">
        <v>0.211947</v>
      </c>
      <c r="AA5" s="7">
        <v>0.239037</v>
      </c>
      <c r="AB5" s="7">
        <v>0.22991800000000001</v>
      </c>
    </row>
    <row r="6" spans="1:28" x14ac:dyDescent="0.3">
      <c r="A6" s="1">
        <v>5</v>
      </c>
      <c r="B6" s="2" t="s">
        <v>20</v>
      </c>
      <c r="C6" s="1" t="s">
        <v>15</v>
      </c>
      <c r="D6" s="2">
        <v>0</v>
      </c>
      <c r="E6" s="2" t="str">
        <f t="shared" si="0"/>
        <v>sensitive</v>
      </c>
      <c r="F6" s="1" t="s">
        <v>16</v>
      </c>
      <c r="G6" s="5">
        <v>181</v>
      </c>
      <c r="H6" s="5">
        <v>312</v>
      </c>
      <c r="I6" s="6">
        <v>3.44751381215469</v>
      </c>
      <c r="J6" s="5">
        <v>5.3967216361824402E-3</v>
      </c>
      <c r="K6" s="5">
        <v>5.1724137931034399E-2</v>
      </c>
      <c r="L6" s="5">
        <v>2.3648648648648601E-2</v>
      </c>
      <c r="M6" s="6">
        <v>1.9152854511970501E-2</v>
      </c>
      <c r="N6" s="5">
        <v>1056.8435480522</v>
      </c>
      <c r="O6" s="6">
        <v>0.34956277614551001</v>
      </c>
      <c r="P6" s="6">
        <v>4.3231176196244201</v>
      </c>
      <c r="Q6" s="1">
        <v>3474.5253164556898</v>
      </c>
      <c r="R6" s="1">
        <v>17.758924050632899</v>
      </c>
      <c r="S6" s="7">
        <v>0.138457</v>
      </c>
      <c r="T6" s="7">
        <v>0.147092</v>
      </c>
      <c r="U6" s="7">
        <v>0.159133</v>
      </c>
      <c r="V6" s="7">
        <v>0.17053099999999999</v>
      </c>
      <c r="W6" s="7">
        <v>0.185395</v>
      </c>
      <c r="X6" s="7">
        <v>0.200626</v>
      </c>
      <c r="Y6" s="7">
        <v>0.21504100000000001</v>
      </c>
      <c r="Z6" s="7">
        <v>0.22880600000000001</v>
      </c>
      <c r="AA6" s="7">
        <v>0.242176</v>
      </c>
      <c r="AB6" s="7">
        <v>0.253917</v>
      </c>
    </row>
    <row r="7" spans="1:28" ht="15" customHeight="1" x14ac:dyDescent="0.3">
      <c r="A7" s="1">
        <v>6</v>
      </c>
      <c r="B7" s="2" t="s">
        <v>21</v>
      </c>
      <c r="C7" s="1" t="s">
        <v>15</v>
      </c>
      <c r="D7" s="2">
        <v>0</v>
      </c>
      <c r="E7" s="2" t="str">
        <f t="shared" si="0"/>
        <v>sensitive</v>
      </c>
      <c r="F7" s="1" t="s">
        <v>16</v>
      </c>
      <c r="G7" s="5">
        <v>162</v>
      </c>
      <c r="H7" s="5">
        <v>275</v>
      </c>
      <c r="I7" s="6">
        <v>3.3950617283950599</v>
      </c>
      <c r="J7" s="6">
        <v>1.1860351292816399E-2</v>
      </c>
      <c r="K7" s="6">
        <v>4.9429657794676798E-2</v>
      </c>
      <c r="L7" s="5">
        <v>-0.11363636363636299</v>
      </c>
      <c r="M7" s="6">
        <v>2.1087339927919599E-2</v>
      </c>
      <c r="N7" s="6">
        <v>926.66406817333495</v>
      </c>
      <c r="O7" s="6">
        <v>0.41083916144836702</v>
      </c>
      <c r="P7" s="6">
        <v>3.4718555771638799</v>
      </c>
      <c r="Q7" s="1">
        <v>2814.5833333333298</v>
      </c>
      <c r="R7" s="1">
        <v>16.6892708333333</v>
      </c>
      <c r="S7" s="7">
        <v>0.14962900000000001</v>
      </c>
      <c r="T7" s="7">
        <v>0.160304</v>
      </c>
      <c r="U7" s="7">
        <v>0.17605499999999999</v>
      </c>
      <c r="V7" s="7">
        <v>0.19902</v>
      </c>
      <c r="W7" s="7">
        <v>0.21964400000000001</v>
      </c>
      <c r="X7" s="7">
        <v>0.24020900000000001</v>
      </c>
      <c r="Y7" s="7">
        <v>0.25595400000000001</v>
      </c>
      <c r="Z7" s="7">
        <v>0.26918700000000001</v>
      </c>
      <c r="AA7" s="7">
        <v>0.27955099999999999</v>
      </c>
      <c r="AB7" s="7">
        <v>0.28735899999999998</v>
      </c>
    </row>
    <row r="8" spans="1:28" x14ac:dyDescent="0.3">
      <c r="A8" s="1">
        <v>7</v>
      </c>
      <c r="B8" s="2" t="s">
        <v>22</v>
      </c>
      <c r="C8" s="1" t="s">
        <v>15</v>
      </c>
      <c r="D8" s="2">
        <v>0</v>
      </c>
      <c r="E8" s="2" t="str">
        <f t="shared" si="0"/>
        <v>sensitive</v>
      </c>
      <c r="F8" s="1" t="s">
        <v>16</v>
      </c>
      <c r="G8" s="5">
        <v>294</v>
      </c>
      <c r="H8" s="5">
        <v>487</v>
      </c>
      <c r="I8" s="6">
        <v>3.31292517006802</v>
      </c>
      <c r="J8" s="6">
        <v>1.4524024464735399E-2</v>
      </c>
      <c r="K8" s="5">
        <v>7.9338842975206603E-2</v>
      </c>
      <c r="L8" s="5">
        <v>-1.5897238458576799E-2</v>
      </c>
      <c r="M8" s="6">
        <v>1.13069118432355E-2</v>
      </c>
      <c r="N8" s="6">
        <v>828.95221028065498</v>
      </c>
      <c r="O8" s="6">
        <v>0.40591593654368702</v>
      </c>
      <c r="P8" s="6">
        <v>3.7496036005015601</v>
      </c>
      <c r="Q8" s="1">
        <v>2932.7083333333298</v>
      </c>
      <c r="R8" s="1">
        <v>16.970624999999998</v>
      </c>
      <c r="S8" s="7">
        <v>0.14430899999999999</v>
      </c>
      <c r="T8" s="7">
        <v>0.16184399999999999</v>
      </c>
      <c r="U8" s="7">
        <v>0.186249</v>
      </c>
      <c r="V8" s="7">
        <v>0.20636199999999999</v>
      </c>
      <c r="W8" s="7">
        <v>0.22406999999999999</v>
      </c>
      <c r="X8" s="7">
        <v>0.23785700000000001</v>
      </c>
      <c r="Y8" s="7">
        <v>0.24891199999999999</v>
      </c>
      <c r="Z8" s="7">
        <v>0.25821300000000003</v>
      </c>
      <c r="AA8" s="7">
        <v>0.26607199999999998</v>
      </c>
      <c r="AB8" s="7">
        <v>0.272789</v>
      </c>
    </row>
    <row r="9" spans="1:28" x14ac:dyDescent="0.3">
      <c r="A9" s="1">
        <v>8</v>
      </c>
      <c r="B9" s="2" t="s">
        <v>23</v>
      </c>
      <c r="C9" s="1" t="s">
        <v>15</v>
      </c>
      <c r="D9" s="2">
        <v>1</v>
      </c>
      <c r="E9" s="2" t="str">
        <f t="shared" si="0"/>
        <v>resilient</v>
      </c>
      <c r="F9" s="1" t="s">
        <v>16</v>
      </c>
      <c r="G9" s="5">
        <v>810</v>
      </c>
      <c r="H9" s="5">
        <v>1523</v>
      </c>
      <c r="I9" s="6">
        <v>3.7604938271604902</v>
      </c>
      <c r="J9" s="5">
        <v>6.8906171923942203E-3</v>
      </c>
      <c r="K9" s="5">
        <v>7.1327683615819204E-2</v>
      </c>
      <c r="L9" s="5">
        <v>2.4646607009606299E-2</v>
      </c>
      <c r="M9" s="5">
        <v>4.64832364296723E-3</v>
      </c>
      <c r="N9" s="5">
        <v>1260.24213437602</v>
      </c>
      <c r="O9" s="6">
        <v>0.38116712007632397</v>
      </c>
      <c r="P9" s="6">
        <v>3.9693417614575801</v>
      </c>
      <c r="Q9" s="1">
        <v>5254.5931758530096</v>
      </c>
      <c r="R9" s="1">
        <v>22.183582677165301</v>
      </c>
      <c r="S9" s="7">
        <v>0.124362</v>
      </c>
      <c r="T9" s="7">
        <v>0.126524</v>
      </c>
      <c r="U9" s="7">
        <v>0.12906999999999999</v>
      </c>
      <c r="V9" s="7">
        <v>0.132411</v>
      </c>
      <c r="W9" s="7">
        <v>0.136633</v>
      </c>
      <c r="X9" s="7">
        <v>0.140372</v>
      </c>
      <c r="Y9" s="7">
        <v>0.14464099999999999</v>
      </c>
      <c r="Z9" s="7">
        <v>0.14895600000000001</v>
      </c>
      <c r="AA9" s="7">
        <v>0.15362400000000001</v>
      </c>
      <c r="AB9" s="7">
        <v>0.15851399999999999</v>
      </c>
    </row>
    <row r="10" spans="1:28" x14ac:dyDescent="0.3">
      <c r="A10" s="1">
        <v>9</v>
      </c>
      <c r="B10" s="2" t="s">
        <v>24</v>
      </c>
      <c r="C10" s="1" t="s">
        <v>15</v>
      </c>
      <c r="D10" s="2">
        <v>1</v>
      </c>
      <c r="E10" s="2" t="str">
        <f t="shared" si="0"/>
        <v>resilient</v>
      </c>
      <c r="F10" s="1" t="s">
        <v>16</v>
      </c>
      <c r="G10" s="5">
        <v>395</v>
      </c>
      <c r="H10" s="5">
        <v>658</v>
      </c>
      <c r="I10" s="6">
        <v>3.33164556962025</v>
      </c>
      <c r="J10" s="6">
        <v>1.7252436783249E-2</v>
      </c>
      <c r="K10" s="5">
        <v>8.2322910019144796E-2</v>
      </c>
      <c r="L10" s="5">
        <v>8.1095342572277601E-2</v>
      </c>
      <c r="M10" s="5">
        <v>8.4559532223864291E-3</v>
      </c>
      <c r="N10" s="6">
        <v>664.43090174658403</v>
      </c>
      <c r="O10" s="6">
        <v>0.29845199158314101</v>
      </c>
      <c r="P10" s="6">
        <v>5.1953157391113596</v>
      </c>
      <c r="Q10" s="1">
        <v>5029.1350531107701</v>
      </c>
      <c r="R10" s="1">
        <v>21.6638998482549</v>
      </c>
      <c r="S10" s="7">
        <v>0.14430799999999999</v>
      </c>
      <c r="T10" s="7">
        <v>0.156282</v>
      </c>
      <c r="U10" s="7">
        <v>0.17285500000000001</v>
      </c>
      <c r="V10" s="7">
        <v>0.19118599999999999</v>
      </c>
      <c r="W10" s="7">
        <v>0.207705</v>
      </c>
      <c r="X10" s="7">
        <v>0.22375300000000001</v>
      </c>
      <c r="Y10" s="7">
        <v>0.23875099999999999</v>
      </c>
      <c r="Z10" s="7">
        <v>0.251527</v>
      </c>
      <c r="AA10" s="7">
        <v>0.261965</v>
      </c>
      <c r="AB10" s="7">
        <v>0.27007900000000001</v>
      </c>
    </row>
    <row r="11" spans="1:28" x14ac:dyDescent="0.3">
      <c r="A11" s="1">
        <v>10</v>
      </c>
      <c r="B11" s="2" t="s">
        <v>25</v>
      </c>
      <c r="C11" s="1" t="s">
        <v>15</v>
      </c>
      <c r="D11" s="2">
        <v>0</v>
      </c>
      <c r="E11" s="2" t="str">
        <f t="shared" si="0"/>
        <v>sensitive</v>
      </c>
      <c r="F11" s="1" t="s">
        <v>16</v>
      </c>
      <c r="G11" s="5">
        <v>125</v>
      </c>
      <c r="H11" s="5">
        <v>201</v>
      </c>
      <c r="I11" s="5">
        <v>3.2160000000000002</v>
      </c>
      <c r="J11" s="5">
        <v>7.0836351358106297E-3</v>
      </c>
      <c r="K11" s="5">
        <v>6.8311195445920306E-2</v>
      </c>
      <c r="L11" s="5">
        <v>-7.6941531290698501E-2</v>
      </c>
      <c r="M11" s="5">
        <v>2.5935483870967699E-2</v>
      </c>
      <c r="N11" s="5">
        <v>907.59349135564003</v>
      </c>
      <c r="O11" s="6">
        <v>0.40243234716540699</v>
      </c>
      <c r="P11" s="6">
        <v>4.0652556905081099</v>
      </c>
      <c r="Q11" s="1">
        <v>2995.4314720812099</v>
      </c>
      <c r="R11" s="1">
        <v>16.951725888324798</v>
      </c>
      <c r="S11" s="7">
        <v>0.12542400000000001</v>
      </c>
      <c r="T11" s="7">
        <v>0.12935099999999999</v>
      </c>
      <c r="U11" s="7">
        <v>0.135411</v>
      </c>
      <c r="V11" s="7">
        <v>0.14699100000000001</v>
      </c>
      <c r="W11" s="7">
        <v>0.16140399999999999</v>
      </c>
      <c r="X11" s="7">
        <v>0.18015500000000001</v>
      </c>
      <c r="Y11" s="7">
        <v>0.19545599999999999</v>
      </c>
      <c r="Z11" s="7">
        <v>0.21034900000000001</v>
      </c>
      <c r="AA11" s="7">
        <v>0.22397800000000001</v>
      </c>
      <c r="AB11" s="7">
        <v>0.236181</v>
      </c>
    </row>
    <row r="12" spans="1:28" x14ac:dyDescent="0.3">
      <c r="A12" s="1">
        <v>11</v>
      </c>
      <c r="B12" s="2" t="s">
        <v>26</v>
      </c>
      <c r="C12" s="1" t="s">
        <v>15</v>
      </c>
      <c r="D12" s="2">
        <v>1</v>
      </c>
      <c r="E12" s="2" t="str">
        <f t="shared" si="0"/>
        <v>resilient</v>
      </c>
      <c r="F12" s="1" t="s">
        <v>16</v>
      </c>
      <c r="G12" s="5">
        <v>309</v>
      </c>
      <c r="H12" s="5">
        <v>516</v>
      </c>
      <c r="I12" s="6">
        <v>3.3398058252427099</v>
      </c>
      <c r="J12" s="6">
        <v>1.27756968305215E-2</v>
      </c>
      <c r="K12" s="5">
        <v>7.8886310904872303E-2</v>
      </c>
      <c r="L12" s="5">
        <v>1.0680615658172801E-3</v>
      </c>
      <c r="M12" s="6">
        <v>1.08435254066322E-2</v>
      </c>
      <c r="N12" s="6">
        <v>994.83387260975906</v>
      </c>
      <c r="O12" s="6">
        <v>0.41548546091296801</v>
      </c>
      <c r="P12" s="6">
        <v>3.5371748285762301</v>
      </c>
      <c r="Q12" s="1">
        <v>5191.7</v>
      </c>
      <c r="R12" s="1">
        <v>22.02018</v>
      </c>
      <c r="S12" s="7">
        <v>0.12503800000000001</v>
      </c>
      <c r="T12" s="7">
        <v>0.12879399999999999</v>
      </c>
      <c r="U12" s="7">
        <v>0.134433</v>
      </c>
      <c r="V12" s="7">
        <v>0.14365800000000001</v>
      </c>
      <c r="W12" s="7">
        <v>0.14777299999999999</v>
      </c>
      <c r="X12" s="7">
        <v>0.155669</v>
      </c>
      <c r="Y12" s="7">
        <v>0.164628</v>
      </c>
      <c r="Z12" s="7">
        <v>0.174787</v>
      </c>
      <c r="AA12" s="7">
        <v>0.18584700000000001</v>
      </c>
      <c r="AB12" s="7">
        <v>0.19683400000000001</v>
      </c>
    </row>
    <row r="13" spans="1:28" x14ac:dyDescent="0.3">
      <c r="A13" s="1">
        <v>12</v>
      </c>
      <c r="B13" s="2" t="s">
        <v>27</v>
      </c>
      <c r="C13" s="1" t="s">
        <v>15</v>
      </c>
      <c r="D13" s="2">
        <v>1</v>
      </c>
      <c r="E13" s="2" t="str">
        <f t="shared" si="0"/>
        <v>resilient</v>
      </c>
      <c r="F13" s="1" t="s">
        <v>16</v>
      </c>
      <c r="G13" s="5">
        <v>470</v>
      </c>
      <c r="H13" s="5">
        <v>809</v>
      </c>
      <c r="I13" s="6">
        <v>3.4425531914893601</v>
      </c>
      <c r="J13" s="6">
        <v>1.40742003035045E-2</v>
      </c>
      <c r="K13" s="5">
        <v>8.8193456614509197E-2</v>
      </c>
      <c r="L13" s="5">
        <v>1.7282592896513099E-2</v>
      </c>
      <c r="M13" s="5">
        <v>7.3401987025359496E-3</v>
      </c>
      <c r="N13" s="6">
        <v>966.16039495244502</v>
      </c>
      <c r="O13" s="6">
        <v>0.39238406732742398</v>
      </c>
      <c r="P13" s="6">
        <v>3.7563835939819099</v>
      </c>
      <c r="Q13" s="1">
        <v>5028.2051282051198</v>
      </c>
      <c r="R13" s="1">
        <v>21.401538461538401</v>
      </c>
      <c r="S13" s="7">
        <v>0.125307</v>
      </c>
      <c r="T13" s="7">
        <v>0.12745699999999999</v>
      </c>
      <c r="U13" s="7">
        <v>0.132106</v>
      </c>
      <c r="V13" s="7">
        <v>0.13753199999999999</v>
      </c>
      <c r="W13" s="7">
        <v>0.14475199999999999</v>
      </c>
      <c r="X13" s="7">
        <v>0.15134700000000001</v>
      </c>
      <c r="Y13" s="7">
        <v>0.15837100000000001</v>
      </c>
      <c r="Z13" s="7">
        <v>0.16669600000000001</v>
      </c>
      <c r="AA13" s="7">
        <v>0.17443700000000001</v>
      </c>
      <c r="AB13" s="7">
        <v>0.18262700000000001</v>
      </c>
    </row>
    <row r="14" spans="1:28" x14ac:dyDescent="0.3">
      <c r="A14" s="1">
        <v>13</v>
      </c>
      <c r="B14" s="2" t="s">
        <v>28</v>
      </c>
      <c r="C14" s="1" t="s">
        <v>15</v>
      </c>
      <c r="D14" s="2">
        <v>0</v>
      </c>
      <c r="E14" s="2" t="str">
        <f t="shared" si="0"/>
        <v>sensitive</v>
      </c>
      <c r="F14" s="1" t="s">
        <v>16</v>
      </c>
      <c r="G14" s="5">
        <v>805</v>
      </c>
      <c r="H14" s="5">
        <v>1560</v>
      </c>
      <c r="I14" s="6">
        <v>3.8757763975155202</v>
      </c>
      <c r="J14" s="6">
        <v>1.16741323758411E-2</v>
      </c>
      <c r="K14" s="5">
        <v>9.4360086767895798E-2</v>
      </c>
      <c r="L14" s="6">
        <v>0.13570131550473799</v>
      </c>
      <c r="M14" s="5">
        <v>4.8206174098451796E-3</v>
      </c>
      <c r="N14" s="6">
        <v>948.093562228216</v>
      </c>
      <c r="O14" s="6">
        <v>0.351719595576796</v>
      </c>
      <c r="P14" s="6">
        <v>4.2934187991789399</v>
      </c>
      <c r="Q14" s="1">
        <v>3293.3684794672499</v>
      </c>
      <c r="R14" s="1">
        <v>17.504639289678099</v>
      </c>
      <c r="S14" s="7">
        <v>0.13525899999999999</v>
      </c>
      <c r="T14" s="7">
        <v>0.138296</v>
      </c>
      <c r="U14" s="7">
        <v>0.143729</v>
      </c>
      <c r="V14" s="7">
        <v>0.15057599999999999</v>
      </c>
      <c r="W14" s="7">
        <v>0.157502</v>
      </c>
      <c r="X14" s="7">
        <v>0.16331300000000001</v>
      </c>
      <c r="Y14" s="7">
        <v>0.168818</v>
      </c>
      <c r="Z14" s="7">
        <v>0.17529</v>
      </c>
      <c r="AA14" s="7">
        <v>0.18202399999999999</v>
      </c>
      <c r="AB14" s="7">
        <v>0.188775</v>
      </c>
    </row>
    <row r="15" spans="1:28" x14ac:dyDescent="0.3">
      <c r="A15" s="1">
        <v>14</v>
      </c>
      <c r="B15" s="2" t="s">
        <v>29</v>
      </c>
      <c r="C15" s="1" t="s">
        <v>15</v>
      </c>
      <c r="D15" s="2">
        <v>1</v>
      </c>
      <c r="E15" s="2" t="str">
        <f t="shared" si="0"/>
        <v>resilient</v>
      </c>
      <c r="F15" s="1" t="s">
        <v>16</v>
      </c>
      <c r="G15" s="5">
        <v>147</v>
      </c>
      <c r="H15" s="5">
        <v>260</v>
      </c>
      <c r="I15" s="6">
        <v>3.53741496598639</v>
      </c>
      <c r="J15" s="5">
        <v>2.8890364042685399E-2</v>
      </c>
      <c r="K15" s="5">
        <v>9.3603744149765994E-2</v>
      </c>
      <c r="L15" s="6">
        <v>0.13776906238598999</v>
      </c>
      <c r="M15" s="5">
        <v>2.4228869630043798E-2</v>
      </c>
      <c r="N15" s="6">
        <v>598.92397514348102</v>
      </c>
      <c r="O15" s="6">
        <v>0.381444675740925</v>
      </c>
      <c r="P15" s="6">
        <v>3.8632430196360801</v>
      </c>
      <c r="Q15" s="1">
        <v>5317.8294573643398</v>
      </c>
      <c r="R15" s="1">
        <v>22.22</v>
      </c>
      <c r="S15" s="7">
        <v>0.124331</v>
      </c>
      <c r="T15" s="7">
        <v>0.12721099999999999</v>
      </c>
      <c r="U15" s="7">
        <v>0.132636</v>
      </c>
      <c r="V15" s="7">
        <v>0.14152899999999999</v>
      </c>
      <c r="W15" s="7">
        <v>0.15116299999999999</v>
      </c>
      <c r="X15" s="7">
        <v>0.161305</v>
      </c>
      <c r="Y15" s="7">
        <v>0.17429</v>
      </c>
      <c r="Z15" s="7">
        <v>0.189614</v>
      </c>
      <c r="AA15" s="7">
        <v>0.20492299999999999</v>
      </c>
      <c r="AB15" s="7">
        <v>0.219162</v>
      </c>
    </row>
    <row r="16" spans="1:28" x14ac:dyDescent="0.3">
      <c r="A16" s="1">
        <v>15</v>
      </c>
      <c r="B16" s="2" t="s">
        <v>30</v>
      </c>
      <c r="C16" s="1" t="s">
        <v>15</v>
      </c>
      <c r="D16" s="2">
        <v>1</v>
      </c>
      <c r="E16" s="2" t="str">
        <f t="shared" si="0"/>
        <v>resilient</v>
      </c>
      <c r="F16" s="1" t="s">
        <v>16</v>
      </c>
      <c r="G16" s="5">
        <v>774</v>
      </c>
      <c r="H16" s="5">
        <v>1413</v>
      </c>
      <c r="I16" s="6">
        <v>3.6511627906976698</v>
      </c>
      <c r="J16" s="5">
        <v>6.4228836135585598E-3</v>
      </c>
      <c r="K16" s="5">
        <v>9.4076655052264799E-2</v>
      </c>
      <c r="L16" s="5">
        <v>0.10194341217748799</v>
      </c>
      <c r="M16" s="5">
        <v>4.7233671289749904E-3</v>
      </c>
      <c r="N16" s="6">
        <v>699.210089490977</v>
      </c>
      <c r="O16" s="5">
        <v>0.37570740328942298</v>
      </c>
      <c r="P16" s="5">
        <v>4.0212771790286599</v>
      </c>
      <c r="Q16" s="1">
        <v>5348.7714987714899</v>
      </c>
      <c r="R16" s="1">
        <v>22.158624078624001</v>
      </c>
      <c r="S16" s="7">
        <v>0.124263</v>
      </c>
      <c r="T16" s="7">
        <v>0.12577099999999999</v>
      </c>
      <c r="U16" s="7">
        <v>0.12859999999999999</v>
      </c>
      <c r="V16" s="7">
        <v>0.13283700000000001</v>
      </c>
      <c r="W16" s="7">
        <v>0.135269</v>
      </c>
      <c r="X16" s="7">
        <v>0.13866100000000001</v>
      </c>
      <c r="Y16" s="7">
        <v>0.141179</v>
      </c>
      <c r="Z16" s="7">
        <v>0.14465</v>
      </c>
      <c r="AA16" s="7">
        <v>0.14901900000000001</v>
      </c>
      <c r="AB16" s="7">
        <v>0.15378600000000001</v>
      </c>
    </row>
    <row r="17" spans="1:28" x14ac:dyDescent="0.3">
      <c r="A17" s="1">
        <v>16</v>
      </c>
      <c r="B17" s="2" t="s">
        <v>31</v>
      </c>
      <c r="C17" s="1" t="s">
        <v>15</v>
      </c>
      <c r="D17" s="2">
        <v>0</v>
      </c>
      <c r="E17" s="2" t="str">
        <f t="shared" si="0"/>
        <v>sensitive</v>
      </c>
      <c r="F17" s="1" t="s">
        <v>16</v>
      </c>
      <c r="G17" s="5">
        <v>595</v>
      </c>
      <c r="H17" s="5">
        <v>1055</v>
      </c>
      <c r="I17" s="6">
        <v>3.5462184873949498</v>
      </c>
      <c r="J17" s="6">
        <v>1.0760615736371101E-2</v>
      </c>
      <c r="K17" s="5">
        <v>9.0561711883836396E-2</v>
      </c>
      <c r="L17" s="5">
        <v>2.8466144484197299E-2</v>
      </c>
      <c r="M17" s="5">
        <v>5.9700647935941997E-3</v>
      </c>
      <c r="N17" s="6">
        <v>845.09629559596897</v>
      </c>
      <c r="O17" s="6">
        <v>0.36776921580150201</v>
      </c>
      <c r="P17" s="6">
        <v>4.2756799281935001</v>
      </c>
      <c r="Q17" s="1">
        <v>3029.7850208044301</v>
      </c>
      <c r="R17" s="1">
        <v>17.0740707350901</v>
      </c>
      <c r="S17" s="7">
        <v>0.14457</v>
      </c>
      <c r="T17" s="7">
        <v>0.154449</v>
      </c>
      <c r="U17" s="7">
        <v>0.167131</v>
      </c>
      <c r="V17" s="7">
        <v>0.177202</v>
      </c>
      <c r="W17" s="7">
        <v>0.187781</v>
      </c>
      <c r="X17" s="7">
        <v>0.19875100000000001</v>
      </c>
      <c r="Y17" s="7">
        <v>0.20979500000000001</v>
      </c>
      <c r="Z17" s="7">
        <v>0.220222</v>
      </c>
      <c r="AA17" s="7">
        <v>0.23108799999999999</v>
      </c>
      <c r="AB17" s="7">
        <v>0.24099300000000001</v>
      </c>
    </row>
    <row r="18" spans="1:28" x14ac:dyDescent="0.3">
      <c r="A18" s="1">
        <v>17</v>
      </c>
      <c r="B18" s="2" t="s">
        <v>32</v>
      </c>
      <c r="C18" s="1" t="s">
        <v>15</v>
      </c>
      <c r="D18" s="2">
        <v>0</v>
      </c>
      <c r="E18" s="2" t="str">
        <f t="shared" si="0"/>
        <v>sensitive</v>
      </c>
      <c r="F18" s="1" t="s">
        <v>16</v>
      </c>
      <c r="G18" s="5">
        <v>443</v>
      </c>
      <c r="H18" s="5">
        <v>726</v>
      </c>
      <c r="I18" s="6">
        <v>3.2776523702031599</v>
      </c>
      <c r="J18" s="6">
        <v>2.00447058749188E-2</v>
      </c>
      <c r="K18" s="5">
        <v>7.6205287713841302E-2</v>
      </c>
      <c r="L18" s="5">
        <v>-0.13308379301287099</v>
      </c>
      <c r="M18" s="5">
        <v>7.4155031000071496E-3</v>
      </c>
      <c r="N18" s="6">
        <v>693.09490812737999</v>
      </c>
      <c r="O18" s="5">
        <v>0.39998232757260699</v>
      </c>
      <c r="P18" s="6">
        <v>3.64617160881365</v>
      </c>
      <c r="Q18" s="1">
        <v>3325.7142857142799</v>
      </c>
      <c r="R18" s="1">
        <v>17.7040136054421</v>
      </c>
      <c r="S18" s="7">
        <v>0.13350300000000001</v>
      </c>
      <c r="T18" s="7">
        <v>0.138183</v>
      </c>
      <c r="U18" s="7">
        <v>0.146564</v>
      </c>
      <c r="V18" s="7">
        <v>0.15549499999999999</v>
      </c>
      <c r="W18" s="7">
        <v>0.167826</v>
      </c>
      <c r="X18" s="7">
        <v>0.179258</v>
      </c>
      <c r="Y18" s="7">
        <v>0.191188</v>
      </c>
      <c r="Z18" s="7">
        <v>0.20258300000000001</v>
      </c>
      <c r="AA18" s="7">
        <v>0.21285699999999999</v>
      </c>
      <c r="AB18" s="7">
        <v>0.22300200000000001</v>
      </c>
    </row>
    <row r="19" spans="1:28" x14ac:dyDescent="0.3">
      <c r="A19" s="1">
        <v>18</v>
      </c>
      <c r="B19" s="2" t="s">
        <v>33</v>
      </c>
      <c r="C19" s="1" t="s">
        <v>15</v>
      </c>
      <c r="D19" s="2">
        <v>0</v>
      </c>
      <c r="E19" s="2" t="str">
        <f t="shared" si="0"/>
        <v>sensitive</v>
      </c>
      <c r="F19" s="1" t="s">
        <v>16</v>
      </c>
      <c r="G19" s="5">
        <v>158</v>
      </c>
      <c r="H19" s="5">
        <v>290</v>
      </c>
      <c r="I19" s="6">
        <v>3.67088607594936</v>
      </c>
      <c r="J19" s="6">
        <v>1.54765588294232E-2</v>
      </c>
      <c r="K19" s="5">
        <v>9.8684210526315694E-2</v>
      </c>
      <c r="L19" s="6">
        <v>0.24856479366529599</v>
      </c>
      <c r="M19" s="5">
        <v>2.33814399741997E-2</v>
      </c>
      <c r="N19" s="6">
        <v>835.322042316291</v>
      </c>
      <c r="O19" s="6">
        <v>0.426869951465359</v>
      </c>
      <c r="P19" s="6">
        <v>3.4460446854670601</v>
      </c>
      <c r="Q19" s="1">
        <v>3165.5821917808198</v>
      </c>
      <c r="R19" s="1">
        <v>17.240205479452001</v>
      </c>
      <c r="S19" s="7">
        <v>0.14297199999999999</v>
      </c>
      <c r="T19" s="7">
        <v>0.15435199999999999</v>
      </c>
      <c r="U19" s="7">
        <v>0.16992499999999999</v>
      </c>
      <c r="V19" s="7">
        <v>0.19036</v>
      </c>
      <c r="W19" s="7">
        <v>0.20952799999999999</v>
      </c>
      <c r="X19" s="7">
        <v>0.227544</v>
      </c>
      <c r="Y19" s="7">
        <v>0.24390300000000001</v>
      </c>
      <c r="Z19" s="7">
        <v>0.25577800000000001</v>
      </c>
      <c r="AA19" s="7">
        <v>0.26533000000000001</v>
      </c>
      <c r="AB19" s="7">
        <v>0.27369500000000002</v>
      </c>
    </row>
    <row r="20" spans="1:28" x14ac:dyDescent="0.3">
      <c r="A20" s="1">
        <v>19</v>
      </c>
      <c r="B20" s="2" t="s">
        <v>34</v>
      </c>
      <c r="C20" s="1" t="s">
        <v>15</v>
      </c>
      <c r="D20" s="2">
        <v>1</v>
      </c>
      <c r="E20" s="2" t="str">
        <f t="shared" si="0"/>
        <v>resilient</v>
      </c>
      <c r="F20" s="1" t="s">
        <v>16</v>
      </c>
      <c r="G20" s="5">
        <v>204</v>
      </c>
      <c r="H20" s="5">
        <v>376</v>
      </c>
      <c r="I20" s="6">
        <v>3.68627450980392</v>
      </c>
      <c r="J20" s="6">
        <v>2.08499304376757E-2</v>
      </c>
      <c r="K20" s="6">
        <v>0.109404990403071</v>
      </c>
      <c r="L20" s="5">
        <v>5.36267941445603E-2</v>
      </c>
      <c r="M20" s="6">
        <v>1.8158987733024198E-2</v>
      </c>
      <c r="N20" s="6">
        <v>857.63300878060898</v>
      </c>
      <c r="O20" s="6">
        <v>0.35792112881598898</v>
      </c>
      <c r="P20" s="6">
        <v>4.0817604701558796</v>
      </c>
      <c r="Q20" s="1">
        <v>5075</v>
      </c>
      <c r="R20" s="1">
        <v>21.653064516129</v>
      </c>
      <c r="S20" s="7">
        <v>0.125697</v>
      </c>
      <c r="T20" s="7">
        <v>0.13142899999999999</v>
      </c>
      <c r="U20" s="7">
        <v>0.138296</v>
      </c>
      <c r="V20" s="7">
        <v>0.14596300000000001</v>
      </c>
      <c r="W20" s="7">
        <v>0.15414900000000001</v>
      </c>
      <c r="X20" s="7">
        <v>0.16460900000000001</v>
      </c>
      <c r="Y20" s="7">
        <v>0.177009</v>
      </c>
      <c r="Z20" s="7">
        <v>0.18884899999999999</v>
      </c>
      <c r="AA20" s="7">
        <v>0.20075899999999999</v>
      </c>
      <c r="AB20" s="7">
        <v>0.21145600000000001</v>
      </c>
    </row>
    <row r="21" spans="1:28" x14ac:dyDescent="0.3">
      <c r="A21" s="1">
        <v>20</v>
      </c>
      <c r="B21" s="2" t="s">
        <v>35</v>
      </c>
      <c r="C21" s="1" t="s">
        <v>15</v>
      </c>
      <c r="D21" s="2">
        <v>1</v>
      </c>
      <c r="E21" s="2" t="str">
        <f t="shared" si="0"/>
        <v>resilient</v>
      </c>
      <c r="F21" s="1" t="s">
        <v>16</v>
      </c>
      <c r="G21" s="5">
        <v>532</v>
      </c>
      <c r="H21" s="5">
        <v>1040</v>
      </c>
      <c r="I21" s="6">
        <v>3.90977443609022</v>
      </c>
      <c r="J21" s="6">
        <v>1.21042626061122E-2</v>
      </c>
      <c r="K21" s="6">
        <v>0.12008210742387899</v>
      </c>
      <c r="L21" s="6">
        <v>0.161328647507955</v>
      </c>
      <c r="M21" s="5">
        <v>7.3630403692847898E-3</v>
      </c>
      <c r="N21" s="6">
        <v>741.04972886154906</v>
      </c>
      <c r="O21" s="6">
        <v>0.36156901786227702</v>
      </c>
      <c r="P21" s="6">
        <v>4.3456150627687702</v>
      </c>
      <c r="Q21" s="1">
        <v>5212.9972565157695</v>
      </c>
      <c r="R21" s="1">
        <v>21.816330589849098</v>
      </c>
      <c r="S21" s="7">
        <v>0.12539</v>
      </c>
      <c r="T21" s="7">
        <v>0.128718</v>
      </c>
      <c r="U21" s="7">
        <v>0.134407</v>
      </c>
      <c r="V21" s="7">
        <v>0.13916200000000001</v>
      </c>
      <c r="W21" s="7">
        <v>0.14534900000000001</v>
      </c>
      <c r="X21" s="7">
        <v>0.15241399999999999</v>
      </c>
      <c r="Y21" s="7">
        <v>0.15962699999999999</v>
      </c>
      <c r="Z21" s="7">
        <v>0.16503599999999999</v>
      </c>
      <c r="AA21" s="7">
        <v>0.17189399999999999</v>
      </c>
      <c r="AB21" s="7">
        <v>0.178116</v>
      </c>
    </row>
    <row r="22" spans="1:28" x14ac:dyDescent="0.3">
      <c r="A22" s="1">
        <v>21</v>
      </c>
      <c r="B22" s="2" t="s">
        <v>36</v>
      </c>
      <c r="C22" s="1" t="s">
        <v>15</v>
      </c>
      <c r="D22" s="2">
        <v>1</v>
      </c>
      <c r="E22" s="2" t="str">
        <f t="shared" si="0"/>
        <v>resilient</v>
      </c>
      <c r="F22" s="1" t="s">
        <v>16</v>
      </c>
      <c r="G22" s="5">
        <v>150</v>
      </c>
      <c r="H22" s="5">
        <v>280</v>
      </c>
      <c r="I22" s="6">
        <v>3.7333333333333298</v>
      </c>
      <c r="J22" s="6">
        <v>2.8050507192165799E-2</v>
      </c>
      <c r="K22" s="5">
        <v>8.8117489986648798E-2</v>
      </c>
      <c r="L22" s="6">
        <v>0.23607921633682699</v>
      </c>
      <c r="M22" s="5">
        <v>2.5055928411633101E-2</v>
      </c>
      <c r="N22" s="6">
        <v>566.35891506549001</v>
      </c>
      <c r="O22" s="6">
        <v>0.39891918315821201</v>
      </c>
      <c r="P22" s="6">
        <v>3.7339395295533402</v>
      </c>
      <c r="Q22" s="1">
        <v>5312.7240143369099</v>
      </c>
      <c r="R22" s="1">
        <v>22.22</v>
      </c>
      <c r="S22" s="7">
        <v>0.124376</v>
      </c>
      <c r="T22" s="7">
        <v>0.127856</v>
      </c>
      <c r="U22" s="7">
        <v>0.13435</v>
      </c>
      <c r="V22" s="7">
        <v>0.14117199999999999</v>
      </c>
      <c r="W22" s="7">
        <v>0.14841699999999999</v>
      </c>
      <c r="X22" s="7">
        <v>0.159054</v>
      </c>
      <c r="Y22" s="7">
        <v>0.17002600000000001</v>
      </c>
      <c r="Z22" s="7">
        <v>0.18251000000000001</v>
      </c>
      <c r="AA22" s="7">
        <v>0.195741</v>
      </c>
      <c r="AB22" s="7">
        <v>0.20846400000000001</v>
      </c>
    </row>
    <row r="23" spans="1:28" x14ac:dyDescent="0.3">
      <c r="A23" s="1">
        <v>22</v>
      </c>
      <c r="B23" s="2" t="s">
        <v>37</v>
      </c>
      <c r="C23" s="1" t="s">
        <v>15</v>
      </c>
      <c r="D23" s="2">
        <v>1</v>
      </c>
      <c r="E23" s="2" t="str">
        <f t="shared" si="0"/>
        <v>resilient</v>
      </c>
      <c r="F23" s="1" t="s">
        <v>16</v>
      </c>
      <c r="G23" s="5">
        <v>158</v>
      </c>
      <c r="H23" s="5">
        <v>249</v>
      </c>
      <c r="I23" s="6">
        <v>3.1518987341772098</v>
      </c>
      <c r="J23" s="5">
        <v>2.5547260473979899E-2</v>
      </c>
      <c r="K23" s="5">
        <v>8.7779690189328699E-2</v>
      </c>
      <c r="L23" s="5">
        <v>-7.7576168776990195E-2</v>
      </c>
      <c r="M23" s="5">
        <v>2.0075788115778401E-2</v>
      </c>
      <c r="N23" s="6">
        <v>951.26476936187498</v>
      </c>
      <c r="O23" s="6">
        <v>0.474990228226088</v>
      </c>
      <c r="P23" s="6">
        <v>3.48898764548525</v>
      </c>
      <c r="Q23" s="1">
        <v>5208</v>
      </c>
      <c r="R23" s="1">
        <v>21.887</v>
      </c>
      <c r="S23" s="7">
        <v>0.12599099999999999</v>
      </c>
      <c r="T23" s="7">
        <v>0.13312099999999999</v>
      </c>
      <c r="U23" s="7">
        <v>0.14168700000000001</v>
      </c>
      <c r="V23" s="7">
        <v>0.15761500000000001</v>
      </c>
      <c r="W23" s="7">
        <v>0.173902</v>
      </c>
      <c r="X23" s="7">
        <v>0.18737699999999999</v>
      </c>
      <c r="Y23" s="7">
        <v>0.20278199999999999</v>
      </c>
      <c r="Z23" s="7">
        <v>0.217974</v>
      </c>
      <c r="AA23" s="7">
        <v>0.23249600000000001</v>
      </c>
      <c r="AB23" s="7">
        <v>0.245388</v>
      </c>
    </row>
    <row r="24" spans="1:28" x14ac:dyDescent="0.3">
      <c r="A24" s="1">
        <v>23</v>
      </c>
      <c r="B24" s="2" t="s">
        <v>38</v>
      </c>
      <c r="C24" s="1" t="s">
        <v>15</v>
      </c>
      <c r="D24" s="2">
        <v>1</v>
      </c>
      <c r="E24" s="2" t="str">
        <f t="shared" si="0"/>
        <v>resilient</v>
      </c>
      <c r="F24" s="1" t="s">
        <v>16</v>
      </c>
      <c r="G24" s="5">
        <v>500</v>
      </c>
      <c r="H24" s="5">
        <v>942</v>
      </c>
      <c r="I24" s="5">
        <v>3.7679999999999998</v>
      </c>
      <c r="J24" s="6">
        <v>1.35130473180509E-2</v>
      </c>
      <c r="K24" s="5">
        <v>0.103486646884273</v>
      </c>
      <c r="L24" s="5">
        <v>6.6402141125511599E-2</v>
      </c>
      <c r="M24" s="5">
        <v>7.5511022044088098E-3</v>
      </c>
      <c r="N24" s="6">
        <v>756.48571869084299</v>
      </c>
      <c r="O24" s="6">
        <v>0.320863247641761</v>
      </c>
      <c r="P24" s="6">
        <v>4.7571259756119302</v>
      </c>
      <c r="Q24" s="1">
        <v>8580.5882352941098</v>
      </c>
      <c r="R24" s="1">
        <v>22.1665561497326</v>
      </c>
      <c r="S24" s="7">
        <v>0.124546</v>
      </c>
      <c r="T24" s="7">
        <v>0.12590899999999999</v>
      </c>
      <c r="U24" s="7">
        <v>0.127808</v>
      </c>
      <c r="V24" s="7">
        <v>0.129134</v>
      </c>
      <c r="W24" s="7">
        <v>0.13022600000000001</v>
      </c>
      <c r="X24" s="7">
        <v>0.131971</v>
      </c>
      <c r="Y24" s="7">
        <v>0.133966</v>
      </c>
      <c r="Z24" s="7">
        <v>0.13672500000000001</v>
      </c>
      <c r="AA24" s="7">
        <v>0.13907900000000001</v>
      </c>
      <c r="AB24" s="7">
        <v>0.14164199999999999</v>
      </c>
    </row>
    <row r="25" spans="1:28" x14ac:dyDescent="0.3">
      <c r="A25" s="1">
        <v>24</v>
      </c>
      <c r="B25" s="2" t="s">
        <v>39</v>
      </c>
      <c r="C25" s="1" t="s">
        <v>15</v>
      </c>
      <c r="D25" s="2">
        <v>0</v>
      </c>
      <c r="E25" s="2" t="str">
        <f t="shared" si="0"/>
        <v>sensitive</v>
      </c>
      <c r="F25" s="1" t="s">
        <v>16</v>
      </c>
      <c r="G25" s="5">
        <v>509</v>
      </c>
      <c r="H25" s="5">
        <v>902</v>
      </c>
      <c r="I25" s="6">
        <v>3.5442043222003901</v>
      </c>
      <c r="J25" s="6">
        <v>1.55165171416362E-2</v>
      </c>
      <c r="K25" s="5">
        <v>8.0084745762711795E-2</v>
      </c>
      <c r="L25" s="5">
        <v>3.2102232362994997E-2</v>
      </c>
      <c r="M25" s="5">
        <v>6.9767801618117898E-3</v>
      </c>
      <c r="N25" s="6">
        <v>832.88381287010804</v>
      </c>
      <c r="O25" s="6">
        <v>0.36187053750739701</v>
      </c>
      <c r="P25" s="6">
        <v>4.2038440742557297</v>
      </c>
      <c r="Q25" s="1">
        <v>3095.2618453865298</v>
      </c>
      <c r="R25" s="1">
        <v>17.182032418952598</v>
      </c>
      <c r="S25" s="7">
        <v>0.14230200000000001</v>
      </c>
      <c r="T25" s="7">
        <v>0.151617</v>
      </c>
      <c r="U25" s="7">
        <v>0.15997500000000001</v>
      </c>
      <c r="V25" s="7">
        <v>0.16891300000000001</v>
      </c>
      <c r="W25" s="7">
        <v>0.180621</v>
      </c>
      <c r="X25" s="7">
        <v>0.19196299999999999</v>
      </c>
      <c r="Y25" s="7">
        <v>0.203093</v>
      </c>
      <c r="Z25" s="7">
        <v>0.21451600000000001</v>
      </c>
      <c r="AA25" s="7">
        <v>0.225073</v>
      </c>
      <c r="AB25" s="7">
        <v>0.23502500000000001</v>
      </c>
    </row>
    <row r="26" spans="1:28" x14ac:dyDescent="0.3">
      <c r="A26" s="1">
        <v>25</v>
      </c>
      <c r="B26" s="2" t="s">
        <v>40</v>
      </c>
      <c r="C26" s="1" t="s">
        <v>15</v>
      </c>
      <c r="D26" s="2">
        <v>1</v>
      </c>
      <c r="E26" s="2" t="str">
        <f t="shared" si="0"/>
        <v>resilient</v>
      </c>
      <c r="F26" s="1" t="s">
        <v>16</v>
      </c>
      <c r="G26" s="5">
        <v>253</v>
      </c>
      <c r="H26" s="5">
        <v>422</v>
      </c>
      <c r="I26" s="5">
        <v>3.3359683794466402</v>
      </c>
      <c r="J26" s="5">
        <v>1.9004382098552201E-2</v>
      </c>
      <c r="K26" s="5">
        <v>8.3333333333333301E-2</v>
      </c>
      <c r="L26" s="6">
        <v>0.16797315441795599</v>
      </c>
      <c r="M26" s="5">
        <v>1.32379697597088E-2</v>
      </c>
      <c r="N26" s="6">
        <v>971.40785158531105</v>
      </c>
      <c r="O26" s="6">
        <v>0.404233289763201</v>
      </c>
      <c r="P26" s="6">
        <v>3.8469930377696002</v>
      </c>
      <c r="Q26" s="1">
        <v>5226.9411764705801</v>
      </c>
      <c r="R26" s="1">
        <v>22.167764705882298</v>
      </c>
      <c r="S26" s="7">
        <v>0.124713</v>
      </c>
      <c r="T26" s="7">
        <v>0.128826</v>
      </c>
      <c r="U26" s="7">
        <v>0.130742</v>
      </c>
      <c r="V26" s="7">
        <v>0.13502</v>
      </c>
      <c r="W26" s="7">
        <v>0.143874</v>
      </c>
      <c r="X26" s="7">
        <v>0.15639600000000001</v>
      </c>
      <c r="Y26" s="7">
        <v>0.170769</v>
      </c>
      <c r="Z26" s="7">
        <v>0.185671</v>
      </c>
      <c r="AA26" s="7">
        <v>0.19708000000000001</v>
      </c>
      <c r="AB26" s="7">
        <v>0.20858399999999999</v>
      </c>
    </row>
    <row r="27" spans="1:28" x14ac:dyDescent="0.3">
      <c r="A27" s="1">
        <v>26</v>
      </c>
      <c r="B27" s="2" t="s">
        <v>41</v>
      </c>
      <c r="C27" s="1" t="s">
        <v>15</v>
      </c>
      <c r="D27" s="2">
        <v>0</v>
      </c>
      <c r="E27" s="2" t="str">
        <f t="shared" si="0"/>
        <v>sensitive</v>
      </c>
      <c r="F27" s="1" t="s">
        <v>16</v>
      </c>
      <c r="G27" s="5">
        <v>172</v>
      </c>
      <c r="H27" s="5">
        <v>292</v>
      </c>
      <c r="I27" s="6">
        <v>3.3953488372092999</v>
      </c>
      <c r="J27" s="5">
        <v>2.7569986549179099E-2</v>
      </c>
      <c r="K27" s="5">
        <v>7.8534031413612496E-2</v>
      </c>
      <c r="L27" s="5">
        <v>-3.80250250638366E-2</v>
      </c>
      <c r="M27" s="6">
        <v>1.9855841153270701E-2</v>
      </c>
      <c r="N27" s="6">
        <v>713.68868855696905</v>
      </c>
      <c r="O27" s="6">
        <v>0.38059680381227101</v>
      </c>
      <c r="P27" s="6">
        <v>3.9041458817365098</v>
      </c>
      <c r="Q27" s="1">
        <v>2725.4295532646001</v>
      </c>
      <c r="R27" s="1">
        <v>16.345051546391701</v>
      </c>
      <c r="S27" s="7">
        <v>0.14848800000000001</v>
      </c>
      <c r="T27" s="7">
        <v>0.159443</v>
      </c>
      <c r="U27" s="7">
        <v>0.177619</v>
      </c>
      <c r="V27" s="7">
        <v>0.20064399999999999</v>
      </c>
      <c r="W27" s="7">
        <v>0.22390699999999999</v>
      </c>
      <c r="X27" s="7">
        <v>0.245561</v>
      </c>
      <c r="Y27" s="7">
        <v>0.26298199999999999</v>
      </c>
      <c r="Z27" s="7">
        <v>0.27597699999999997</v>
      </c>
      <c r="AA27" s="7">
        <v>0.285468</v>
      </c>
      <c r="AB27" s="7">
        <v>0.292404</v>
      </c>
    </row>
    <row r="28" spans="1:28" x14ac:dyDescent="0.3">
      <c r="A28" s="1">
        <v>27</v>
      </c>
      <c r="B28" s="2" t="s">
        <v>42</v>
      </c>
      <c r="C28" s="1" t="s">
        <v>15</v>
      </c>
      <c r="D28" s="2">
        <v>1</v>
      </c>
      <c r="E28" s="2" t="str">
        <f t="shared" si="0"/>
        <v>resilient</v>
      </c>
      <c r="F28" s="1" t="s">
        <v>16</v>
      </c>
      <c r="G28" s="5">
        <v>230</v>
      </c>
      <c r="H28" s="5">
        <v>415</v>
      </c>
      <c r="I28" s="6">
        <v>3.60869565217391</v>
      </c>
      <c r="J28" s="5">
        <v>8.9947478169140303E-3</v>
      </c>
      <c r="K28" s="5">
        <v>5.4451166810717301E-2</v>
      </c>
      <c r="L28" s="5">
        <v>-7.7801021705462201E-2</v>
      </c>
      <c r="M28" s="6">
        <v>1.5758496297702599E-2</v>
      </c>
      <c r="N28" s="6">
        <v>792.15792781118796</v>
      </c>
      <c r="O28" s="6">
        <v>0.33228022995925199</v>
      </c>
      <c r="P28" s="6">
        <v>4.6018450568739002</v>
      </c>
      <c r="Q28" s="1">
        <v>5301.2195121951199</v>
      </c>
      <c r="R28" s="1">
        <v>22.22</v>
      </c>
      <c r="S28" s="7">
        <v>0.124421</v>
      </c>
      <c r="T28" s="7">
        <v>0.12687000000000001</v>
      </c>
      <c r="U28" s="7">
        <v>0.131049</v>
      </c>
      <c r="V28" s="7">
        <v>0.13788600000000001</v>
      </c>
      <c r="W28" s="7">
        <v>0.146591</v>
      </c>
      <c r="X28" s="7">
        <v>0.15773300000000001</v>
      </c>
      <c r="Y28" s="7">
        <v>0.168076</v>
      </c>
      <c r="Z28" s="7">
        <v>0.17860000000000001</v>
      </c>
      <c r="AA28" s="7">
        <v>0.189085</v>
      </c>
      <c r="AB28" s="7">
        <v>0.199077</v>
      </c>
    </row>
    <row r="29" spans="1:28" x14ac:dyDescent="0.3">
      <c r="A29" s="1">
        <v>28</v>
      </c>
      <c r="B29" s="2" t="s">
        <v>43</v>
      </c>
      <c r="C29" s="1" t="s">
        <v>15</v>
      </c>
      <c r="D29" s="2">
        <v>1</v>
      </c>
      <c r="E29" s="2" t="str">
        <f t="shared" si="0"/>
        <v>resilient</v>
      </c>
      <c r="F29" s="1" t="s">
        <v>16</v>
      </c>
      <c r="G29" s="5">
        <v>310</v>
      </c>
      <c r="H29" s="5">
        <v>629</v>
      </c>
      <c r="I29" s="6">
        <v>4.0580645161290301</v>
      </c>
      <c r="J29" s="6">
        <v>1.0553501940048501E-2</v>
      </c>
      <c r="K29" s="5">
        <v>7.9818299805321194E-2</v>
      </c>
      <c r="L29" s="5">
        <v>-4.0091249773407098E-2</v>
      </c>
      <c r="M29" s="6">
        <v>1.3132894874203899E-2</v>
      </c>
      <c r="N29" s="6">
        <v>1074.31508353002</v>
      </c>
      <c r="O29" s="6">
        <v>0.38445646368977598</v>
      </c>
      <c r="P29" s="6">
        <v>3.7727953453315899</v>
      </c>
      <c r="Q29" s="1">
        <v>6604.1800643086799</v>
      </c>
      <c r="R29" s="1">
        <v>21.764855305466199</v>
      </c>
      <c r="S29" s="7">
        <v>0.124407</v>
      </c>
      <c r="T29" s="7">
        <v>0.12528600000000001</v>
      </c>
      <c r="U29" s="7">
        <v>0.12717999999999999</v>
      </c>
      <c r="V29" s="7">
        <v>0.12895799999999999</v>
      </c>
      <c r="W29" s="7">
        <v>0.13216700000000001</v>
      </c>
      <c r="X29" s="7">
        <v>0.135852</v>
      </c>
      <c r="Y29" s="7">
        <v>0.13927300000000001</v>
      </c>
      <c r="Z29" s="7">
        <v>0.142903</v>
      </c>
      <c r="AA29" s="7">
        <v>0.14766000000000001</v>
      </c>
      <c r="AB29" s="7">
        <v>0.15288299999999999</v>
      </c>
    </row>
    <row r="30" spans="1:28" x14ac:dyDescent="0.3">
      <c r="A30" s="1">
        <v>29</v>
      </c>
      <c r="B30" s="2" t="s">
        <v>44</v>
      </c>
      <c r="C30" s="1" t="s">
        <v>15</v>
      </c>
      <c r="D30" s="2">
        <v>1</v>
      </c>
      <c r="E30" s="2" t="str">
        <f t="shared" si="0"/>
        <v>resilient</v>
      </c>
      <c r="F30" s="1" t="s">
        <v>16</v>
      </c>
      <c r="G30" s="5">
        <v>324</v>
      </c>
      <c r="H30" s="5">
        <v>618</v>
      </c>
      <c r="I30" s="6">
        <v>3.81481481481481</v>
      </c>
      <c r="J30" s="6">
        <v>2.26855034266355E-2</v>
      </c>
      <c r="K30" s="5">
        <v>8.1705150976909405E-2</v>
      </c>
      <c r="L30" s="5">
        <v>1.70159926145409E-3</v>
      </c>
      <c r="M30" s="5">
        <v>1.18105721820892E-2</v>
      </c>
      <c r="N30" s="6">
        <v>967.51055086800295</v>
      </c>
      <c r="O30" s="6">
        <v>0.35300440638980501</v>
      </c>
      <c r="P30" s="6">
        <v>4.1479238026703502</v>
      </c>
      <c r="Q30" s="1">
        <v>5259.4669117646999</v>
      </c>
      <c r="R30" s="1">
        <v>22.128161764705801</v>
      </c>
      <c r="S30" s="7">
        <v>0.124609</v>
      </c>
      <c r="T30" s="7">
        <v>0.127055</v>
      </c>
      <c r="U30" s="7">
        <v>0.12951499999999999</v>
      </c>
      <c r="V30" s="7">
        <v>0.13450500000000001</v>
      </c>
      <c r="W30" s="7">
        <v>0.14010500000000001</v>
      </c>
      <c r="X30" s="7">
        <v>0.14519799999999999</v>
      </c>
      <c r="Y30" s="7">
        <v>0.15146200000000001</v>
      </c>
      <c r="Z30" s="7">
        <v>0.157939</v>
      </c>
      <c r="AA30" s="7">
        <v>0.165604</v>
      </c>
      <c r="AB30" s="7">
        <v>0.173041</v>
      </c>
    </row>
    <row r="31" spans="1:28" x14ac:dyDescent="0.3">
      <c r="A31" s="1">
        <v>30</v>
      </c>
      <c r="B31" s="2" t="s">
        <v>45</v>
      </c>
      <c r="C31" s="1" t="s">
        <v>15</v>
      </c>
      <c r="D31" s="2">
        <v>0</v>
      </c>
      <c r="E31" s="2" t="str">
        <f t="shared" si="0"/>
        <v>sensitive</v>
      </c>
      <c r="F31" s="1" t="s">
        <v>16</v>
      </c>
      <c r="G31" s="5">
        <v>253</v>
      </c>
      <c r="H31" s="5">
        <v>433</v>
      </c>
      <c r="I31" s="6">
        <v>3.4229249011857701</v>
      </c>
      <c r="J31" s="6">
        <v>2.3368748518402802E-2</v>
      </c>
      <c r="K31" s="6">
        <v>0.104912572855953</v>
      </c>
      <c r="L31" s="5">
        <v>-9.2284000365088895E-2</v>
      </c>
      <c r="M31" s="6">
        <v>1.3583035322165701E-2</v>
      </c>
      <c r="N31" s="6">
        <v>955.97847785639499</v>
      </c>
      <c r="O31" s="6">
        <v>0.38066918204438699</v>
      </c>
      <c r="P31" s="5">
        <v>3.89134066072375</v>
      </c>
      <c r="Q31" s="1">
        <v>3420.1584507042198</v>
      </c>
      <c r="R31" s="1">
        <v>17.676390845070401</v>
      </c>
      <c r="S31" s="7">
        <v>0.139151</v>
      </c>
      <c r="T31" s="7">
        <v>0.14824699999999999</v>
      </c>
      <c r="U31" s="7">
        <v>0.16007399999999999</v>
      </c>
      <c r="V31" s="7">
        <v>0.173261</v>
      </c>
      <c r="W31" s="7">
        <v>0.18507999999999999</v>
      </c>
      <c r="X31" s="7">
        <v>0.19843</v>
      </c>
      <c r="Y31" s="7">
        <v>0.211841</v>
      </c>
      <c r="Z31" s="7">
        <v>0.22398100000000001</v>
      </c>
      <c r="AA31" s="7">
        <v>0.23524700000000001</v>
      </c>
      <c r="AB31" s="7">
        <v>0.24552399999999999</v>
      </c>
    </row>
    <row r="32" spans="1:28" x14ac:dyDescent="0.3">
      <c r="A32" s="1">
        <v>31</v>
      </c>
      <c r="B32" s="2" t="s">
        <v>46</v>
      </c>
      <c r="C32" s="1" t="s">
        <v>15</v>
      </c>
      <c r="D32" s="2">
        <v>1</v>
      </c>
      <c r="E32" s="2" t="str">
        <f t="shared" si="0"/>
        <v>resilient</v>
      </c>
      <c r="F32" s="1" t="s">
        <v>16</v>
      </c>
      <c r="G32" s="5">
        <v>301</v>
      </c>
      <c r="H32" s="5">
        <v>497</v>
      </c>
      <c r="I32" s="6">
        <v>3.30232558139534</v>
      </c>
      <c r="J32" s="6">
        <v>1.6965402325977E-2</v>
      </c>
      <c r="K32" s="5">
        <v>9.1497227356746702E-2</v>
      </c>
      <c r="L32" s="6">
        <v>0.63678042813176605</v>
      </c>
      <c r="M32" s="6">
        <v>1.10077519379844E-2</v>
      </c>
      <c r="N32" s="6">
        <v>625.21018128287903</v>
      </c>
      <c r="O32" s="6">
        <v>0.38370642328320897</v>
      </c>
      <c r="P32" s="6">
        <v>4.3745202311247899</v>
      </c>
      <c r="Q32" s="1">
        <v>5265.9638554216799</v>
      </c>
      <c r="R32" s="1">
        <v>22.164257028112399</v>
      </c>
      <c r="S32" s="7">
        <v>0.124972</v>
      </c>
      <c r="T32" s="7">
        <v>0.12867300000000001</v>
      </c>
      <c r="U32" s="7">
        <v>0.13572899999999999</v>
      </c>
      <c r="V32" s="7">
        <v>0.14396200000000001</v>
      </c>
      <c r="W32" s="7">
        <v>0.154998</v>
      </c>
      <c r="X32" s="7">
        <v>0.17025699999999999</v>
      </c>
      <c r="Y32" s="7">
        <v>0.18723699999999999</v>
      </c>
      <c r="Z32" s="7">
        <v>0.20405300000000001</v>
      </c>
      <c r="AA32" s="7">
        <v>0.21888199999999999</v>
      </c>
      <c r="AB32" s="7">
        <v>0.23128499999999999</v>
      </c>
    </row>
    <row r="33" spans="1:28" x14ac:dyDescent="0.3">
      <c r="A33" s="1">
        <v>32</v>
      </c>
      <c r="B33" s="2" t="s">
        <v>47</v>
      </c>
      <c r="C33" s="1" t="s">
        <v>15</v>
      </c>
      <c r="D33" s="2">
        <v>0</v>
      </c>
      <c r="E33" s="2" t="str">
        <f t="shared" si="0"/>
        <v>sensitive</v>
      </c>
      <c r="F33" s="1" t="s">
        <v>16</v>
      </c>
      <c r="G33" s="5">
        <v>883</v>
      </c>
      <c r="H33" s="5">
        <v>1544</v>
      </c>
      <c r="I33" s="6">
        <v>3.4971687429218501</v>
      </c>
      <c r="J33" s="5">
        <v>6.3439397686261504E-3</v>
      </c>
      <c r="K33" s="5">
        <v>6.6587112171837701E-2</v>
      </c>
      <c r="L33" s="5">
        <v>-5.2117792667181001E-2</v>
      </c>
      <c r="M33" s="5">
        <v>3.96504392621525E-3</v>
      </c>
      <c r="N33" s="6">
        <v>1082.2683043489401</v>
      </c>
      <c r="O33" s="6">
        <v>0.37985024112577198</v>
      </c>
      <c r="P33" s="6">
        <v>4.1770738372818901</v>
      </c>
      <c r="Q33" s="1">
        <v>3090.08084577114</v>
      </c>
      <c r="R33" s="1">
        <v>17.059751243781101</v>
      </c>
      <c r="S33" s="7">
        <v>0.13922300000000001</v>
      </c>
      <c r="T33" s="7">
        <v>0.143957</v>
      </c>
      <c r="U33" s="7">
        <v>0.15015899999999999</v>
      </c>
      <c r="V33" s="7">
        <v>0.156363</v>
      </c>
      <c r="W33" s="7">
        <v>0.16342799999999999</v>
      </c>
      <c r="X33" s="7">
        <v>0.17095299999999999</v>
      </c>
      <c r="Y33" s="7">
        <v>0.17780899999999999</v>
      </c>
      <c r="Z33" s="7">
        <v>0.18507699999999999</v>
      </c>
      <c r="AA33" s="7">
        <v>0.19325899999999999</v>
      </c>
      <c r="AB33" s="7">
        <v>0.201297</v>
      </c>
    </row>
    <row r="34" spans="1:28" x14ac:dyDescent="0.3">
      <c r="A34" s="1">
        <v>33</v>
      </c>
      <c r="B34" s="2" t="s">
        <v>48</v>
      </c>
      <c r="C34" s="1" t="s">
        <v>15</v>
      </c>
      <c r="D34" s="2">
        <v>0</v>
      </c>
      <c r="E34" s="2" t="str">
        <f t="shared" si="0"/>
        <v>sensitive</v>
      </c>
      <c r="F34" s="1" t="s">
        <v>16</v>
      </c>
      <c r="G34" s="5">
        <v>388</v>
      </c>
      <c r="H34" s="5">
        <v>626</v>
      </c>
      <c r="I34" s="6">
        <v>3.2268041237113398</v>
      </c>
      <c r="J34" s="6">
        <v>1.3328915355048199E-2</v>
      </c>
      <c r="K34" s="5">
        <v>9.7196261682242893E-2</v>
      </c>
      <c r="L34" s="5">
        <v>9.8208263043427793E-2</v>
      </c>
      <c r="M34" s="5">
        <v>8.3379951517088893E-3</v>
      </c>
      <c r="N34" s="6">
        <v>937.64412812522198</v>
      </c>
      <c r="O34" s="6">
        <v>0.30785321805846999</v>
      </c>
      <c r="P34" s="6">
        <v>5.03322060400843</v>
      </c>
      <c r="Q34" s="1">
        <v>2941.5857605177898</v>
      </c>
      <c r="R34" s="1">
        <v>16.984320388349499</v>
      </c>
      <c r="S34" s="7">
        <v>0.15204599999999999</v>
      </c>
      <c r="T34" s="7">
        <v>0.15903999999999999</v>
      </c>
      <c r="U34" s="7">
        <v>0.17037099999999999</v>
      </c>
      <c r="V34" s="7">
        <v>0.184616</v>
      </c>
      <c r="W34" s="7">
        <v>0.19714599999999999</v>
      </c>
      <c r="X34" s="7">
        <v>0.20837800000000001</v>
      </c>
      <c r="Y34" s="7">
        <v>0.21935199999999999</v>
      </c>
      <c r="Z34" s="7">
        <v>0.230072</v>
      </c>
      <c r="AA34" s="7">
        <v>0.24041899999999999</v>
      </c>
      <c r="AB34" s="7">
        <v>0.25009900000000002</v>
      </c>
    </row>
    <row r="35" spans="1:28" x14ac:dyDescent="0.3">
      <c r="A35" s="1">
        <v>34</v>
      </c>
      <c r="B35" s="2" t="s">
        <v>49</v>
      </c>
      <c r="C35" s="1" t="s">
        <v>15</v>
      </c>
      <c r="D35" s="2">
        <v>1</v>
      </c>
      <c r="E35" s="2" t="str">
        <f t="shared" si="0"/>
        <v>resilient</v>
      </c>
      <c r="F35" s="1" t="s">
        <v>16</v>
      </c>
      <c r="G35" s="5">
        <v>143</v>
      </c>
      <c r="H35" s="5">
        <v>232</v>
      </c>
      <c r="I35" s="6">
        <v>3.2447552447552401</v>
      </c>
      <c r="J35" s="5">
        <v>6.8043922310832197E-3</v>
      </c>
      <c r="K35" s="5">
        <v>6.4056939501779306E-2</v>
      </c>
      <c r="L35" s="6">
        <v>0.17039300097208701</v>
      </c>
      <c r="M35" s="6">
        <v>2.2850389047572101E-2</v>
      </c>
      <c r="N35" s="6">
        <v>886.69989124583003</v>
      </c>
      <c r="O35" s="6">
        <v>0.31437719718441198</v>
      </c>
      <c r="P35" s="6">
        <v>5.6676784345586402</v>
      </c>
      <c r="Q35" s="1">
        <v>5250</v>
      </c>
      <c r="R35" s="1">
        <v>22.22</v>
      </c>
      <c r="S35" s="7">
        <v>0.125139</v>
      </c>
      <c r="T35" s="7">
        <v>0.13377</v>
      </c>
      <c r="U35" s="7">
        <v>0.15688199999999999</v>
      </c>
      <c r="V35" s="7">
        <v>0.179697</v>
      </c>
      <c r="W35" s="7">
        <v>0.20102500000000001</v>
      </c>
      <c r="X35" s="7">
        <v>0.21876799999999999</v>
      </c>
      <c r="Y35" s="7">
        <v>0.232906</v>
      </c>
      <c r="Z35" s="7">
        <v>0.244342</v>
      </c>
      <c r="AA35" s="7">
        <v>0.254054</v>
      </c>
      <c r="AB35" s="7">
        <v>0.26252700000000001</v>
      </c>
    </row>
    <row r="36" spans="1:28" x14ac:dyDescent="0.3">
      <c r="A36" s="1">
        <v>35</v>
      </c>
      <c r="B36" s="2" t="s">
        <v>50</v>
      </c>
      <c r="C36" s="1" t="s">
        <v>15</v>
      </c>
      <c r="D36" s="2">
        <v>1</v>
      </c>
      <c r="E36" s="2" t="str">
        <f t="shared" si="0"/>
        <v>resilient</v>
      </c>
      <c r="F36" s="1" t="s">
        <v>16</v>
      </c>
      <c r="G36" s="5">
        <v>212</v>
      </c>
      <c r="H36" s="5">
        <v>358</v>
      </c>
      <c r="I36" s="6">
        <v>3.3773584905660301</v>
      </c>
      <c r="J36" s="5">
        <v>1.7182672877250699E-2</v>
      </c>
      <c r="K36" s="5">
        <v>7.8602620087336206E-2</v>
      </c>
      <c r="L36" s="5">
        <v>-0.107958324096652</v>
      </c>
      <c r="M36" s="5">
        <v>1.6006438343914801E-2</v>
      </c>
      <c r="N36" s="6">
        <v>801.30478229633695</v>
      </c>
      <c r="O36" s="6">
        <v>0.38716239004252001</v>
      </c>
      <c r="P36" s="6">
        <v>3.8821275349053002</v>
      </c>
      <c r="Q36" s="1">
        <v>5029.6610169491496</v>
      </c>
      <c r="R36" s="1">
        <v>21.2006497175141</v>
      </c>
      <c r="S36" s="7">
        <v>0.127719</v>
      </c>
      <c r="T36" s="7">
        <v>0.12986800000000001</v>
      </c>
      <c r="U36" s="7">
        <v>0.13547799999999999</v>
      </c>
      <c r="V36" s="7">
        <v>0.14501500000000001</v>
      </c>
      <c r="W36" s="7">
        <v>0.15798499999999999</v>
      </c>
      <c r="X36" s="7">
        <v>0.17024600000000001</v>
      </c>
      <c r="Y36" s="7">
        <v>0.18305199999999999</v>
      </c>
      <c r="Z36" s="7">
        <v>0.19630800000000001</v>
      </c>
      <c r="AA36" s="7">
        <v>0.20760100000000001</v>
      </c>
      <c r="AB36" s="7">
        <v>0.21875</v>
      </c>
    </row>
    <row r="37" spans="1:28" x14ac:dyDescent="0.3">
      <c r="A37" s="1">
        <v>36</v>
      </c>
      <c r="B37" s="2" t="s">
        <v>51</v>
      </c>
      <c r="C37" s="1" t="s">
        <v>15</v>
      </c>
      <c r="D37" s="2">
        <v>1</v>
      </c>
      <c r="E37" s="2" t="str">
        <f t="shared" si="0"/>
        <v>resilient</v>
      </c>
      <c r="F37" s="1" t="s">
        <v>16</v>
      </c>
      <c r="G37" s="5">
        <v>137</v>
      </c>
      <c r="H37" s="5">
        <v>236</v>
      </c>
      <c r="I37" s="6">
        <v>3.4452554744525501</v>
      </c>
      <c r="J37" s="5">
        <v>1.80344397889418E-2</v>
      </c>
      <c r="K37" s="5">
        <v>9.1726618705035901E-2</v>
      </c>
      <c r="L37" s="6">
        <v>0.22026431718061601</v>
      </c>
      <c r="M37" s="6">
        <v>2.5332760841562899E-2</v>
      </c>
      <c r="N37" s="6">
        <v>1238.4834636856201</v>
      </c>
      <c r="O37" s="6">
        <v>0.357425092709868</v>
      </c>
      <c r="P37" s="6">
        <v>4.3140930581869297</v>
      </c>
      <c r="Q37" s="1">
        <v>7096.3983050847401</v>
      </c>
      <c r="R37" s="1">
        <v>22.22</v>
      </c>
      <c r="S37" s="7">
        <v>0.124404</v>
      </c>
      <c r="T37" s="7">
        <v>0.127914</v>
      </c>
      <c r="U37" s="7">
        <v>0.134464</v>
      </c>
      <c r="V37" s="7">
        <v>0.13956299999999999</v>
      </c>
      <c r="W37" s="7">
        <v>0.14580000000000001</v>
      </c>
      <c r="X37" s="7">
        <v>0.15420400000000001</v>
      </c>
      <c r="Y37" s="7">
        <v>0.165965</v>
      </c>
      <c r="Z37" s="7">
        <v>0.18043000000000001</v>
      </c>
      <c r="AA37" s="7">
        <v>0.19478200000000001</v>
      </c>
      <c r="AB37" s="7">
        <v>0.20926700000000001</v>
      </c>
    </row>
    <row r="38" spans="1:28" x14ac:dyDescent="0.3">
      <c r="A38" s="1">
        <v>37</v>
      </c>
      <c r="B38" s="2" t="s">
        <v>52</v>
      </c>
      <c r="C38" s="1" t="s">
        <v>15</v>
      </c>
      <c r="D38" s="2">
        <v>1</v>
      </c>
      <c r="E38" s="2" t="str">
        <f t="shared" si="0"/>
        <v>resilient</v>
      </c>
      <c r="F38" s="1" t="s">
        <v>16</v>
      </c>
      <c r="G38" s="5">
        <v>100</v>
      </c>
      <c r="H38" s="5">
        <v>149</v>
      </c>
      <c r="I38" s="5">
        <v>2.98</v>
      </c>
      <c r="J38" s="6">
        <v>2.4369697648071099E-2</v>
      </c>
      <c r="K38" s="6">
        <v>0.106796116504854</v>
      </c>
      <c r="L38" s="5">
        <v>-1.8832929091168401E-2</v>
      </c>
      <c r="M38" s="5">
        <v>3.0101010101010101E-2</v>
      </c>
      <c r="N38" s="5">
        <v>835.17752814282403</v>
      </c>
      <c r="O38" s="6">
        <v>0.37093761570990802</v>
      </c>
      <c r="P38" s="6">
        <v>4.3109447117542699</v>
      </c>
      <c r="Q38" s="1">
        <v>5112.3333333333303</v>
      </c>
      <c r="R38" s="1">
        <v>21.776</v>
      </c>
      <c r="S38" s="7">
        <v>0.130722</v>
      </c>
      <c r="T38" s="7">
        <v>0.142097</v>
      </c>
      <c r="U38" s="7">
        <v>0.16303799999999999</v>
      </c>
      <c r="V38" s="7">
        <v>0.188614</v>
      </c>
      <c r="W38" s="7">
        <v>0.21362</v>
      </c>
      <c r="X38" s="7">
        <v>0.23630799999999999</v>
      </c>
      <c r="Y38" s="7">
        <v>0.25417699999999999</v>
      </c>
      <c r="Z38" s="7">
        <v>0.267793</v>
      </c>
      <c r="AA38" s="7">
        <v>0.278165</v>
      </c>
      <c r="AB38" s="7">
        <v>0.28632600000000002</v>
      </c>
    </row>
    <row r="39" spans="1:28" x14ac:dyDescent="0.3">
      <c r="A39" s="1">
        <v>38</v>
      </c>
      <c r="B39" s="2" t="s">
        <v>53</v>
      </c>
      <c r="C39" s="1" t="s">
        <v>15</v>
      </c>
      <c r="D39" s="2">
        <v>0</v>
      </c>
      <c r="E39" s="2" t="str">
        <f t="shared" si="0"/>
        <v>sensitive</v>
      </c>
      <c r="F39" s="1" t="s">
        <v>16</v>
      </c>
      <c r="G39" s="5">
        <v>419</v>
      </c>
      <c r="H39" s="5">
        <v>744</v>
      </c>
      <c r="I39" s="6">
        <v>3.5513126491646698</v>
      </c>
      <c r="J39" s="5">
        <v>7.5482691537666702E-3</v>
      </c>
      <c r="K39" s="6">
        <v>0.101669941060903</v>
      </c>
      <c r="L39" s="5">
        <v>6.9251441467623895E-2</v>
      </c>
      <c r="M39" s="5">
        <v>8.4959632755135794E-3</v>
      </c>
      <c r="N39" s="6">
        <v>431.15221248236799</v>
      </c>
      <c r="O39" s="6">
        <v>0.35992372693726099</v>
      </c>
      <c r="P39" s="6">
        <v>4.2135736071690904</v>
      </c>
      <c r="Q39" s="1">
        <v>2858.7684069611701</v>
      </c>
      <c r="R39" s="1">
        <v>16.580254350736201</v>
      </c>
      <c r="S39" s="7">
        <v>0.14559800000000001</v>
      </c>
      <c r="T39" s="7">
        <v>0.15207799999999999</v>
      </c>
      <c r="U39" s="7">
        <v>0.161833</v>
      </c>
      <c r="V39" s="7">
        <v>0.173068</v>
      </c>
      <c r="W39" s="7">
        <v>0.18385199999999999</v>
      </c>
      <c r="X39" s="7">
        <v>0.19659299999999999</v>
      </c>
      <c r="Y39" s="7">
        <v>0.210004</v>
      </c>
      <c r="Z39" s="7">
        <v>0.223769</v>
      </c>
      <c r="AA39" s="7">
        <v>0.236454</v>
      </c>
      <c r="AB39" s="7">
        <v>0.24751200000000001</v>
      </c>
    </row>
    <row r="40" spans="1:28" x14ac:dyDescent="0.3">
      <c r="A40" s="1">
        <v>39</v>
      </c>
      <c r="B40" s="2" t="s">
        <v>54</v>
      </c>
      <c r="C40" s="1" t="s">
        <v>15</v>
      </c>
      <c r="D40" s="2">
        <v>0</v>
      </c>
      <c r="E40" s="2" t="str">
        <f t="shared" si="0"/>
        <v>sensitive</v>
      </c>
      <c r="F40" s="1" t="s">
        <v>16</v>
      </c>
      <c r="G40" s="5">
        <v>430</v>
      </c>
      <c r="H40" s="5">
        <v>707</v>
      </c>
      <c r="I40" s="6">
        <v>3.2883720930232498</v>
      </c>
      <c r="J40" s="5">
        <v>5.5437426488498297E-3</v>
      </c>
      <c r="K40" s="6">
        <v>0.12707498568975301</v>
      </c>
      <c r="L40" s="5">
        <v>1.36497970481953E-2</v>
      </c>
      <c r="M40" s="5">
        <v>7.6652030140402201E-3</v>
      </c>
      <c r="N40" s="5">
        <v>419.74052021646003</v>
      </c>
      <c r="O40" s="6">
        <v>0.34427130605862399</v>
      </c>
      <c r="P40" s="6">
        <v>4.8170481340948301</v>
      </c>
      <c r="Q40" s="1">
        <v>3042.90681502086</v>
      </c>
      <c r="R40" s="1">
        <v>16.048970792767701</v>
      </c>
      <c r="S40" s="7">
        <v>0.14035900000000001</v>
      </c>
      <c r="T40" s="7">
        <v>0.150149</v>
      </c>
      <c r="U40" s="7">
        <v>0.16322999999999999</v>
      </c>
      <c r="V40" s="7">
        <v>0.177145</v>
      </c>
      <c r="W40" s="7">
        <v>0.192133</v>
      </c>
      <c r="X40" s="7">
        <v>0.206345</v>
      </c>
      <c r="Y40" s="7">
        <v>0.22203500000000001</v>
      </c>
      <c r="Z40" s="7">
        <v>0.23544100000000001</v>
      </c>
      <c r="AA40" s="7">
        <v>0.24725800000000001</v>
      </c>
      <c r="AB40" s="7">
        <v>0.25711899999999999</v>
      </c>
    </row>
    <row r="41" spans="1:28" x14ac:dyDescent="0.3">
      <c r="A41" s="1">
        <v>40</v>
      </c>
      <c r="B41" s="2" t="s">
        <v>55</v>
      </c>
      <c r="C41" s="1" t="s">
        <v>15</v>
      </c>
      <c r="D41" s="2">
        <v>0</v>
      </c>
      <c r="E41" s="2" t="str">
        <f t="shared" si="0"/>
        <v>sensitive</v>
      </c>
      <c r="F41" s="1" t="s">
        <v>16</v>
      </c>
      <c r="G41" s="5">
        <v>274</v>
      </c>
      <c r="H41" s="5">
        <v>463</v>
      </c>
      <c r="I41" s="6">
        <v>3.37956204379562</v>
      </c>
      <c r="J41" s="6">
        <v>1.78035858587118E-2</v>
      </c>
      <c r="K41" s="6">
        <v>0.10927152317880701</v>
      </c>
      <c r="L41" s="5">
        <v>-2.3025721933108801E-2</v>
      </c>
      <c r="M41" s="6">
        <v>1.2379348145771501E-2</v>
      </c>
      <c r="N41" s="6">
        <v>294.20670636682303</v>
      </c>
      <c r="O41" s="6">
        <v>0.314047945757847</v>
      </c>
      <c r="P41" s="6">
        <v>5.2662294532871403</v>
      </c>
      <c r="Q41" s="1">
        <v>2670.3260869565202</v>
      </c>
      <c r="R41" s="1">
        <v>15.980652173913001</v>
      </c>
      <c r="S41" s="7">
        <v>0.161997</v>
      </c>
      <c r="T41" s="7">
        <v>0.18551500000000001</v>
      </c>
      <c r="U41" s="7">
        <v>0.208456</v>
      </c>
      <c r="V41" s="7">
        <v>0.232104</v>
      </c>
      <c r="W41" s="7">
        <v>0.25142100000000001</v>
      </c>
      <c r="X41" s="7">
        <v>0.265349</v>
      </c>
      <c r="Y41" s="7">
        <v>0.275536</v>
      </c>
      <c r="Z41" s="7">
        <v>0.28322900000000001</v>
      </c>
      <c r="AA41" s="7">
        <v>0.28927999999999998</v>
      </c>
      <c r="AB41" s="7">
        <v>0.294178</v>
      </c>
    </row>
    <row r="42" spans="1:28" x14ac:dyDescent="0.3">
      <c r="A42" s="1">
        <v>41</v>
      </c>
      <c r="B42" s="2" t="s">
        <v>56</v>
      </c>
      <c r="C42" s="1" t="s">
        <v>57</v>
      </c>
      <c r="D42" s="2">
        <v>1</v>
      </c>
      <c r="E42" s="2" t="str">
        <f t="shared" si="0"/>
        <v>resilient</v>
      </c>
      <c r="F42" s="1" t="s">
        <v>16</v>
      </c>
      <c r="G42" s="5">
        <v>157</v>
      </c>
      <c r="H42" s="5">
        <v>214</v>
      </c>
      <c r="I42" s="6">
        <v>2.7261146496815201</v>
      </c>
      <c r="J42" s="5">
        <v>7.0489424857404096E-3</v>
      </c>
      <c r="K42" s="5">
        <v>4.7368421052631497E-2</v>
      </c>
      <c r="L42" s="6">
        <v>2.9784411276948499E-2</v>
      </c>
      <c r="M42" s="6">
        <v>1.74750939082149E-2</v>
      </c>
      <c r="N42" s="6">
        <v>512.23900582860199</v>
      </c>
      <c r="O42" s="6">
        <v>0.364276488760787</v>
      </c>
      <c r="P42" s="6">
        <v>4.2229976488846699</v>
      </c>
      <c r="Q42" s="1">
        <v>6958.7264150943302</v>
      </c>
      <c r="R42" s="1">
        <v>22.22</v>
      </c>
      <c r="S42" s="7">
        <v>0.124554</v>
      </c>
      <c r="T42" s="7">
        <v>0.131526</v>
      </c>
      <c r="U42" s="7">
        <v>0.151338</v>
      </c>
      <c r="V42" s="7">
        <v>0.17174700000000001</v>
      </c>
      <c r="W42" s="7">
        <v>0.19156999999999999</v>
      </c>
      <c r="X42" s="7">
        <v>0.20827000000000001</v>
      </c>
      <c r="Y42" s="7">
        <v>0.22450400000000001</v>
      </c>
      <c r="Z42" s="7">
        <v>0.23935600000000001</v>
      </c>
      <c r="AA42" s="7">
        <v>0.25173600000000002</v>
      </c>
      <c r="AB42" s="7">
        <v>0.261988</v>
      </c>
    </row>
    <row r="43" spans="1:28" x14ac:dyDescent="0.3">
      <c r="A43" s="1">
        <v>42</v>
      </c>
      <c r="B43" s="2" t="s">
        <v>58</v>
      </c>
      <c r="C43" s="1" t="s">
        <v>59</v>
      </c>
      <c r="D43" s="2">
        <v>0</v>
      </c>
      <c r="E43" s="2" t="str">
        <f t="shared" si="0"/>
        <v>sensitive</v>
      </c>
      <c r="F43" s="1" t="s">
        <v>16</v>
      </c>
      <c r="G43" s="5">
        <v>924</v>
      </c>
      <c r="H43" s="5">
        <v>1670</v>
      </c>
      <c r="I43" s="6">
        <v>3.6147186147186101</v>
      </c>
      <c r="J43" s="6">
        <v>1.5538379745439399E-2</v>
      </c>
      <c r="K43" s="6">
        <v>0.114923619271445</v>
      </c>
      <c r="L43" s="6">
        <v>0.43894874057886402</v>
      </c>
      <c r="M43" s="5">
        <v>3.91627152190532E-3</v>
      </c>
      <c r="N43" s="6">
        <v>333.13685967512703</v>
      </c>
      <c r="O43" s="6">
        <v>0.36463174324659298</v>
      </c>
      <c r="P43" s="6">
        <v>4.39687801086448</v>
      </c>
      <c r="Q43" s="1">
        <v>3323.1338862559201</v>
      </c>
      <c r="R43" s="1">
        <v>17.175924170616099</v>
      </c>
      <c r="S43" s="7">
        <v>0.134302</v>
      </c>
      <c r="T43" s="7">
        <v>0.14186699999999999</v>
      </c>
      <c r="U43" s="7">
        <v>0.15127099999999999</v>
      </c>
      <c r="V43" s="7">
        <v>0.15886500000000001</v>
      </c>
      <c r="W43" s="7">
        <v>0.16836999999999999</v>
      </c>
      <c r="X43" s="7">
        <v>0.177066</v>
      </c>
      <c r="Y43" s="7">
        <v>0.186366</v>
      </c>
      <c r="Z43" s="7">
        <v>0.19584299999999999</v>
      </c>
      <c r="AA43" s="7">
        <v>0.205151</v>
      </c>
      <c r="AB43" s="7">
        <v>0.213695</v>
      </c>
    </row>
    <row r="44" spans="1:28" x14ac:dyDescent="0.3">
      <c r="A44" s="1">
        <v>43</v>
      </c>
      <c r="B44" s="2" t="s">
        <v>60</v>
      </c>
      <c r="C44" s="1" t="s">
        <v>61</v>
      </c>
      <c r="D44" s="2">
        <v>0</v>
      </c>
      <c r="E44" s="2" t="str">
        <f t="shared" si="0"/>
        <v>sensitive</v>
      </c>
      <c r="F44" s="1" t="s">
        <v>16</v>
      </c>
      <c r="G44" s="5">
        <v>296</v>
      </c>
      <c r="H44" s="5">
        <v>545</v>
      </c>
      <c r="I44" s="6">
        <v>3.6824324324324298</v>
      </c>
      <c r="J44" s="5">
        <v>5.9633514130547497E-3</v>
      </c>
      <c r="K44" s="5">
        <v>3.7113402061855601E-2</v>
      </c>
      <c r="L44" s="6">
        <v>0.27747437571728201</v>
      </c>
      <c r="M44" s="6">
        <v>1.2482821804855699E-2</v>
      </c>
      <c r="N44" s="6">
        <v>279.94638477078303</v>
      </c>
      <c r="O44" s="6">
        <v>0.285794946104862</v>
      </c>
      <c r="P44" s="6">
        <v>5.3399955618507899</v>
      </c>
      <c r="Q44" s="1">
        <v>3298.34862385321</v>
      </c>
      <c r="R44" s="1">
        <v>16.657633027522898</v>
      </c>
      <c r="S44" s="7">
        <v>0.132745</v>
      </c>
      <c r="T44" s="7">
        <v>0.142091</v>
      </c>
      <c r="U44" s="7">
        <v>0.15099399999999999</v>
      </c>
      <c r="V44" s="7">
        <v>0.16128999999999999</v>
      </c>
      <c r="W44" s="7">
        <v>0.170742</v>
      </c>
      <c r="X44" s="7">
        <v>0.18285599999999999</v>
      </c>
      <c r="Y44" s="7">
        <v>0.196545</v>
      </c>
      <c r="Z44" s="7">
        <v>0.21058499999999999</v>
      </c>
      <c r="AA44" s="7">
        <v>0.223827</v>
      </c>
      <c r="AB44" s="7">
        <v>0.23632500000000001</v>
      </c>
    </row>
    <row r="45" spans="1:28" x14ac:dyDescent="0.3">
      <c r="A45" s="1">
        <v>44</v>
      </c>
      <c r="B45" s="2" t="s">
        <v>62</v>
      </c>
      <c r="C45" s="1" t="s">
        <v>61</v>
      </c>
      <c r="D45" s="2">
        <v>0</v>
      </c>
      <c r="E45" s="2" t="str">
        <f t="shared" si="0"/>
        <v>sensitive</v>
      </c>
      <c r="F45" s="1" t="s">
        <v>16</v>
      </c>
      <c r="G45" s="5">
        <v>666</v>
      </c>
      <c r="H45" s="5">
        <v>1146</v>
      </c>
      <c r="I45" s="6">
        <v>3.44144144144144</v>
      </c>
      <c r="J45" s="6">
        <v>1.32109790254046E-2</v>
      </c>
      <c r="K45" s="6">
        <v>0.10408560311284</v>
      </c>
      <c r="L45" s="5">
        <v>6.1864733989424299E-3</v>
      </c>
      <c r="M45" s="5">
        <v>5.1750999119420096E-3</v>
      </c>
      <c r="N45" s="6">
        <v>386.67698719155499</v>
      </c>
      <c r="O45" s="6">
        <v>0.36947925669885301</v>
      </c>
      <c r="P45" s="6">
        <v>4.1499229206427497</v>
      </c>
      <c r="Q45" s="1">
        <v>2878.0732345248398</v>
      </c>
      <c r="R45" s="1">
        <v>16.3391630340017</v>
      </c>
      <c r="S45" s="7">
        <v>0.14200599999999999</v>
      </c>
      <c r="T45" s="7">
        <v>0.14924799999999999</v>
      </c>
      <c r="U45" s="7">
        <v>0.15635599999999999</v>
      </c>
      <c r="V45" s="7">
        <v>0.16393199999999999</v>
      </c>
      <c r="W45" s="7">
        <v>0.17263100000000001</v>
      </c>
      <c r="X45" s="7">
        <v>0.18226100000000001</v>
      </c>
      <c r="Y45" s="7">
        <v>0.192523</v>
      </c>
      <c r="Z45" s="7">
        <v>0.20260800000000001</v>
      </c>
      <c r="AA45" s="7">
        <v>0.21226300000000001</v>
      </c>
      <c r="AB45" s="7">
        <v>0.22262699999999999</v>
      </c>
    </row>
    <row r="46" spans="1:28" x14ac:dyDescent="0.3">
      <c r="A46" s="1">
        <v>45</v>
      </c>
      <c r="B46" s="2" t="s">
        <v>63</v>
      </c>
      <c r="C46" s="1" t="s">
        <v>63</v>
      </c>
      <c r="D46" s="2">
        <v>1</v>
      </c>
      <c r="E46" s="2" t="str">
        <f t="shared" si="0"/>
        <v>resilient</v>
      </c>
      <c r="F46" s="1" t="s">
        <v>16</v>
      </c>
      <c r="G46" s="5">
        <v>109</v>
      </c>
      <c r="H46" s="5">
        <v>195</v>
      </c>
      <c r="I46" s="6">
        <v>3.57798165137614</v>
      </c>
      <c r="J46" s="5">
        <v>5.3063950734552903E-2</v>
      </c>
      <c r="K46" s="6">
        <v>0.17297297297297201</v>
      </c>
      <c r="L46" s="6">
        <v>0.22261693309650599</v>
      </c>
      <c r="M46" s="6">
        <v>3.3129459734964298E-2</v>
      </c>
      <c r="N46" s="6">
        <v>669.97875025088194</v>
      </c>
      <c r="O46" s="6">
        <v>0.39873233460589202</v>
      </c>
      <c r="P46" s="6">
        <v>3.6764882565658699</v>
      </c>
      <c r="Q46" s="1">
        <v>4659.32642487046</v>
      </c>
      <c r="R46" s="1">
        <v>18.768186528497399</v>
      </c>
      <c r="S46" s="7">
        <v>0.130523</v>
      </c>
      <c r="T46" s="7">
        <v>0.138381</v>
      </c>
      <c r="U46" s="7">
        <v>0.15135699999999999</v>
      </c>
      <c r="V46" s="7">
        <v>0.164162</v>
      </c>
      <c r="W46" s="7">
        <v>0.18245900000000001</v>
      </c>
      <c r="X46" s="7">
        <v>0.20083200000000001</v>
      </c>
      <c r="Y46" s="7">
        <v>0.216665</v>
      </c>
      <c r="Z46" s="7">
        <v>0.23230400000000001</v>
      </c>
      <c r="AA46" s="7">
        <v>0.246395</v>
      </c>
      <c r="AB46" s="7">
        <v>0.25787100000000002</v>
      </c>
    </row>
    <row r="47" spans="1:28" x14ac:dyDescent="0.3">
      <c r="A47" s="1">
        <v>46</v>
      </c>
      <c r="B47" s="2" t="s">
        <v>64</v>
      </c>
      <c r="C47" s="1" t="s">
        <v>65</v>
      </c>
      <c r="D47" s="2">
        <v>0</v>
      </c>
      <c r="E47" s="2" t="str">
        <f t="shared" si="0"/>
        <v>sensitive</v>
      </c>
      <c r="F47" s="1" t="s">
        <v>16</v>
      </c>
      <c r="G47" s="5">
        <v>727</v>
      </c>
      <c r="H47" s="5">
        <v>1182</v>
      </c>
      <c r="I47" s="5">
        <v>3.2517193947730401</v>
      </c>
      <c r="J47" s="5">
        <v>6.5849571509808604E-3</v>
      </c>
      <c r="K47" s="5">
        <v>6.2305295950155701E-2</v>
      </c>
      <c r="L47" s="5">
        <v>3.6340945232893697E-2</v>
      </c>
      <c r="M47" s="5">
        <v>4.4789523343981199E-3</v>
      </c>
      <c r="N47" s="6">
        <v>403.02620436477298</v>
      </c>
      <c r="O47" s="6">
        <v>0.39917897856733098</v>
      </c>
      <c r="P47" s="6">
        <v>3.9166386997893201</v>
      </c>
      <c r="Q47" s="1">
        <v>3856.5290648694099</v>
      </c>
      <c r="R47" s="1">
        <v>18.175299073293999</v>
      </c>
      <c r="S47" s="7">
        <v>0.13198799999999999</v>
      </c>
      <c r="T47" s="7">
        <v>0.13670599999999999</v>
      </c>
      <c r="U47" s="7">
        <v>0.14197000000000001</v>
      </c>
      <c r="V47" s="7">
        <v>0.15038000000000001</v>
      </c>
      <c r="W47" s="7">
        <v>0.16082299999999999</v>
      </c>
      <c r="X47" s="7">
        <v>0.17039899999999999</v>
      </c>
      <c r="Y47" s="7">
        <v>0.180869</v>
      </c>
      <c r="Z47" s="7">
        <v>0.19145999999999999</v>
      </c>
      <c r="AA47" s="7">
        <v>0.20171700000000001</v>
      </c>
      <c r="AB47" s="7">
        <v>0.210588</v>
      </c>
    </row>
    <row r="48" spans="1:28" x14ac:dyDescent="0.3">
      <c r="A48" s="1">
        <v>47</v>
      </c>
      <c r="B48" s="2" t="s">
        <v>66</v>
      </c>
      <c r="C48" s="1" t="s">
        <v>67</v>
      </c>
      <c r="D48" s="2">
        <v>0</v>
      </c>
      <c r="E48" s="2" t="str">
        <f t="shared" si="0"/>
        <v>sensitive</v>
      </c>
      <c r="F48" s="1" t="s">
        <v>16</v>
      </c>
      <c r="G48" s="5">
        <v>146</v>
      </c>
      <c r="H48" s="5">
        <v>243</v>
      </c>
      <c r="I48" s="6">
        <v>3.3287671232876699</v>
      </c>
      <c r="J48" s="6">
        <v>1.45816231145789E-2</v>
      </c>
      <c r="K48" s="6">
        <v>0.124378109452736</v>
      </c>
      <c r="L48" s="6">
        <v>2.6324915833897899E-2</v>
      </c>
      <c r="M48" s="5">
        <v>2.2957014643363201E-2</v>
      </c>
      <c r="N48" s="6">
        <v>689.78344625017201</v>
      </c>
      <c r="O48" s="6">
        <v>0.319001668808507</v>
      </c>
      <c r="P48" s="6">
        <v>4.7270896745535103</v>
      </c>
      <c r="Q48" s="1">
        <v>3857.92682926829</v>
      </c>
      <c r="R48" s="1">
        <v>18.023455284552799</v>
      </c>
      <c r="S48" s="7">
        <v>0.13686999999999999</v>
      </c>
      <c r="T48" s="7">
        <v>0.148809</v>
      </c>
      <c r="U48" s="7">
        <v>0.16609299999999999</v>
      </c>
      <c r="V48" s="7">
        <v>0.18648799999999999</v>
      </c>
      <c r="W48" s="7">
        <v>0.20739299999999999</v>
      </c>
      <c r="X48" s="7">
        <v>0.225549</v>
      </c>
      <c r="Y48" s="7">
        <v>0.24104700000000001</v>
      </c>
      <c r="Z48" s="7">
        <v>0.25405800000000001</v>
      </c>
      <c r="AA48" s="7">
        <v>0.26506299999999999</v>
      </c>
      <c r="AB48" s="7">
        <v>0.27443000000000001</v>
      </c>
    </row>
    <row r="49" spans="1:28" x14ac:dyDescent="0.3">
      <c r="A49" s="1">
        <v>48</v>
      </c>
      <c r="B49" s="2" t="s">
        <v>68</v>
      </c>
      <c r="C49" s="1" t="s">
        <v>69</v>
      </c>
      <c r="D49" s="2">
        <v>0</v>
      </c>
      <c r="E49" s="2" t="str">
        <f t="shared" si="0"/>
        <v>sensitive</v>
      </c>
      <c r="F49" s="1" t="s">
        <v>16</v>
      </c>
      <c r="G49" s="5">
        <v>140</v>
      </c>
      <c r="H49" s="5">
        <v>215</v>
      </c>
      <c r="I49" s="6">
        <v>3.0714285714285698</v>
      </c>
      <c r="J49" s="5">
        <v>5.3365084177415097E-2</v>
      </c>
      <c r="K49" s="6">
        <v>0.12647554806070799</v>
      </c>
      <c r="L49" s="5">
        <v>-5.4147416061647601E-2</v>
      </c>
      <c r="M49" s="6">
        <v>2.2096608427543601E-2</v>
      </c>
      <c r="N49" s="6">
        <v>615.19005071117795</v>
      </c>
      <c r="O49" s="6">
        <v>0.44588499138540499</v>
      </c>
      <c r="P49" s="6">
        <v>3.0739567505443399</v>
      </c>
      <c r="Q49" s="1">
        <v>2903.0373831775701</v>
      </c>
      <c r="R49" s="1">
        <v>16.903411214953199</v>
      </c>
      <c r="S49" s="7">
        <v>0.16104099999999999</v>
      </c>
      <c r="T49" s="7">
        <v>0.19620699999999999</v>
      </c>
      <c r="U49" s="7">
        <v>0.22284000000000001</v>
      </c>
      <c r="V49" s="7">
        <v>0.24263499999999999</v>
      </c>
      <c r="W49" s="7">
        <v>0.26066800000000001</v>
      </c>
      <c r="X49" s="7">
        <v>0.27475500000000003</v>
      </c>
      <c r="Y49" s="7">
        <v>0.28503400000000001</v>
      </c>
      <c r="Z49" s="7">
        <v>0.29237200000000002</v>
      </c>
      <c r="AA49" s="7">
        <v>0.29786400000000002</v>
      </c>
      <c r="AB49" s="7">
        <v>0.30203000000000002</v>
      </c>
    </row>
    <row r="50" spans="1:28" x14ac:dyDescent="0.3">
      <c r="A50" s="1">
        <v>49</v>
      </c>
      <c r="B50" s="2" t="s">
        <v>70</v>
      </c>
      <c r="C50" s="1" t="s">
        <v>71</v>
      </c>
      <c r="D50" s="2">
        <v>0</v>
      </c>
      <c r="E50" s="2" t="str">
        <f t="shared" si="0"/>
        <v>sensitive</v>
      </c>
      <c r="F50" s="1" t="s">
        <v>16</v>
      </c>
      <c r="G50" s="5">
        <v>865</v>
      </c>
      <c r="H50" s="5">
        <v>1515</v>
      </c>
      <c r="I50" s="6">
        <v>3.5028901734104001</v>
      </c>
      <c r="J50" s="5">
        <v>5.8528490527958903E-3</v>
      </c>
      <c r="K50" s="6">
        <v>0.124269005847953</v>
      </c>
      <c r="L50" s="6">
        <v>0.113685050014304</v>
      </c>
      <c r="M50" s="5">
        <v>4.0542710340398204E-3</v>
      </c>
      <c r="N50" s="6">
        <v>680.89619392401596</v>
      </c>
      <c r="O50" s="6">
        <v>0.345003623350358</v>
      </c>
      <c r="P50" s="6">
        <v>5.1204376640552898</v>
      </c>
      <c r="Q50" s="1">
        <v>2849.4989979959901</v>
      </c>
      <c r="R50" s="1">
        <v>16.606639946559699</v>
      </c>
      <c r="S50" s="7">
        <v>0.15141099999999999</v>
      </c>
      <c r="T50" s="7">
        <v>0.165107</v>
      </c>
      <c r="U50" s="7">
        <v>0.17687800000000001</v>
      </c>
      <c r="V50" s="7">
        <v>0.19169800000000001</v>
      </c>
      <c r="W50" s="7">
        <v>0.207284</v>
      </c>
      <c r="X50" s="7">
        <v>0.22087300000000001</v>
      </c>
      <c r="Y50" s="7">
        <v>0.232961</v>
      </c>
      <c r="Z50" s="7">
        <v>0.24349000000000001</v>
      </c>
      <c r="AA50" s="7">
        <v>0.25257499999999999</v>
      </c>
      <c r="AB50" s="7">
        <v>0.26072600000000001</v>
      </c>
    </row>
    <row r="51" spans="1:28" x14ac:dyDescent="0.3">
      <c r="A51" s="1">
        <v>50</v>
      </c>
      <c r="B51" s="2" t="s">
        <v>72</v>
      </c>
      <c r="C51" s="1" t="s">
        <v>73</v>
      </c>
      <c r="D51" s="2">
        <v>0</v>
      </c>
      <c r="E51" s="2" t="str">
        <f t="shared" si="0"/>
        <v>sensitive</v>
      </c>
      <c r="F51" s="1" t="s">
        <v>16</v>
      </c>
      <c r="G51" s="5">
        <v>537</v>
      </c>
      <c r="H51" s="5">
        <v>910</v>
      </c>
      <c r="I51" s="6">
        <v>3.3891992551210399</v>
      </c>
      <c r="J51" s="6">
        <v>2.8278801740789901E-2</v>
      </c>
      <c r="K51" s="6">
        <v>0.108744902582691</v>
      </c>
      <c r="L51" s="6">
        <v>0.24427974518416601</v>
      </c>
      <c r="M51" s="5">
        <v>6.3231329386586599E-3</v>
      </c>
      <c r="N51" s="6">
        <v>668.50083205710405</v>
      </c>
      <c r="O51" s="6">
        <v>0.34606692949416401</v>
      </c>
      <c r="P51" s="6">
        <v>4.4924554737321296</v>
      </c>
      <c r="Q51" s="1">
        <v>3009.32017543859</v>
      </c>
      <c r="R51" s="1">
        <v>16.986118421052598</v>
      </c>
      <c r="S51" s="7">
        <v>0.144619</v>
      </c>
      <c r="T51" s="7">
        <v>0.15579899999999999</v>
      </c>
      <c r="U51" s="7">
        <v>0.169851</v>
      </c>
      <c r="V51" s="7">
        <v>0.18718799999999999</v>
      </c>
      <c r="W51" s="7">
        <v>0.20480200000000001</v>
      </c>
      <c r="X51" s="7">
        <v>0.218804</v>
      </c>
      <c r="Y51" s="7">
        <v>0.230661</v>
      </c>
      <c r="Z51" s="7">
        <v>0.24102000000000001</v>
      </c>
      <c r="AA51" s="7">
        <v>0.250114</v>
      </c>
      <c r="AB51" s="7">
        <v>0.258571</v>
      </c>
    </row>
    <row r="52" spans="1:28" x14ac:dyDescent="0.3">
      <c r="A52" s="1">
        <v>51</v>
      </c>
      <c r="B52" s="2" t="s">
        <v>74</v>
      </c>
      <c r="C52" s="1" t="s">
        <v>75</v>
      </c>
      <c r="D52" s="2">
        <v>0</v>
      </c>
      <c r="E52" s="2" t="str">
        <f t="shared" si="0"/>
        <v>sensitive</v>
      </c>
      <c r="F52" s="1" t="s">
        <v>76</v>
      </c>
      <c r="G52" s="5">
        <v>158</v>
      </c>
      <c r="H52" s="5">
        <v>261</v>
      </c>
      <c r="I52" s="6">
        <v>3.3037974683544298</v>
      </c>
      <c r="J52" s="5">
        <v>6.1818937321859002E-2</v>
      </c>
      <c r="K52" s="6">
        <v>0.14685314685314599</v>
      </c>
      <c r="L52" s="5">
        <v>-0.112708166623888</v>
      </c>
      <c r="M52" s="5">
        <v>2.1043295976779799E-2</v>
      </c>
      <c r="N52" s="6">
        <v>607.16146024127397</v>
      </c>
      <c r="O52" s="6">
        <v>0.39836600476358403</v>
      </c>
      <c r="P52" s="6">
        <v>3.6597306168917498</v>
      </c>
      <c r="Q52" s="1">
        <v>2760.53639846743</v>
      </c>
      <c r="R52" s="1">
        <v>16.350038314176199</v>
      </c>
      <c r="S52" s="7">
        <v>0.15443999999999999</v>
      </c>
      <c r="T52" s="7">
        <v>0.17701</v>
      </c>
      <c r="U52" s="7">
        <v>0.207208</v>
      </c>
      <c r="V52" s="7">
        <v>0.235316</v>
      </c>
      <c r="W52" s="7">
        <v>0.25708199999999998</v>
      </c>
      <c r="X52" s="7">
        <v>0.27265600000000001</v>
      </c>
      <c r="Y52" s="7">
        <v>0.283001</v>
      </c>
      <c r="Z52" s="7">
        <v>0.29029500000000003</v>
      </c>
      <c r="AA52" s="7">
        <v>0.29548600000000003</v>
      </c>
      <c r="AB52" s="7">
        <v>0.29933999999999999</v>
      </c>
    </row>
    <row r="53" spans="1:28" x14ac:dyDescent="0.3">
      <c r="A53" s="1">
        <v>52</v>
      </c>
      <c r="B53" s="2" t="s">
        <v>77</v>
      </c>
      <c r="C53" s="1" t="s">
        <v>75</v>
      </c>
      <c r="D53" s="2">
        <v>0</v>
      </c>
      <c r="E53" s="2" t="str">
        <f t="shared" si="0"/>
        <v>sensitive</v>
      </c>
      <c r="F53" s="1" t="s">
        <v>76</v>
      </c>
      <c r="G53" s="5">
        <v>221</v>
      </c>
      <c r="H53" s="5">
        <v>331</v>
      </c>
      <c r="I53" s="6">
        <v>2.9954751131221702</v>
      </c>
      <c r="J53" s="6">
        <v>1.47733111654585E-2</v>
      </c>
      <c r="K53" s="5">
        <v>7.8404401650618905E-2</v>
      </c>
      <c r="L53" s="5">
        <v>8.2551182026162906E-2</v>
      </c>
      <c r="M53" s="6">
        <v>1.3615795968737099E-2</v>
      </c>
      <c r="N53" s="6">
        <v>236.51137881084199</v>
      </c>
      <c r="O53" s="6">
        <v>0.32763372607976099</v>
      </c>
      <c r="P53" s="6">
        <v>4.8941456556040004</v>
      </c>
      <c r="Q53" s="1">
        <v>2765.10574018126</v>
      </c>
      <c r="R53" s="1">
        <v>16.384108761329301</v>
      </c>
      <c r="S53" s="7">
        <v>0.15568599999999999</v>
      </c>
      <c r="T53" s="7">
        <v>0.19162499999999999</v>
      </c>
      <c r="U53" s="7">
        <v>0.228603</v>
      </c>
      <c r="V53" s="7">
        <v>0.25356699999999999</v>
      </c>
      <c r="W53" s="7">
        <v>0.27112700000000001</v>
      </c>
      <c r="X53" s="7">
        <v>0.28331600000000001</v>
      </c>
      <c r="Y53" s="7">
        <v>0.291796</v>
      </c>
      <c r="Z53" s="7">
        <v>0.29776900000000001</v>
      </c>
      <c r="AA53" s="7">
        <v>0.30208000000000002</v>
      </c>
      <c r="AB53" s="7">
        <v>0.30530299999999999</v>
      </c>
    </row>
    <row r="54" spans="1:28" x14ac:dyDescent="0.3">
      <c r="A54" s="1">
        <v>53</v>
      </c>
      <c r="B54" s="2" t="s">
        <v>78</v>
      </c>
      <c r="C54" s="1" t="s">
        <v>79</v>
      </c>
      <c r="D54" s="2">
        <v>0</v>
      </c>
      <c r="E54" s="2" t="str">
        <f t="shared" si="0"/>
        <v>sensitive</v>
      </c>
      <c r="F54" s="1" t="s">
        <v>76</v>
      </c>
      <c r="G54" s="5">
        <v>439</v>
      </c>
      <c r="H54" s="5">
        <v>689</v>
      </c>
      <c r="I54" s="6">
        <v>3.13895216400911</v>
      </c>
      <c r="J54" s="6">
        <v>1.44589276801386E-2</v>
      </c>
      <c r="K54" s="5">
        <v>7.6566125290023199E-2</v>
      </c>
      <c r="L54" s="5">
        <v>-7.7486310248599394E-2</v>
      </c>
      <c r="M54" s="5">
        <v>7.1665574520755901E-3</v>
      </c>
      <c r="N54" s="6">
        <v>648.55058893900605</v>
      </c>
      <c r="O54" s="6">
        <v>0.31642624040943801</v>
      </c>
      <c r="P54" s="6">
        <v>4.9027103526368201</v>
      </c>
      <c r="Q54" s="1">
        <v>3021.1538461538398</v>
      </c>
      <c r="R54" s="1">
        <v>16.756809954751098</v>
      </c>
      <c r="S54" s="7">
        <v>0.14568300000000001</v>
      </c>
      <c r="T54" s="7">
        <v>0.16014100000000001</v>
      </c>
      <c r="U54" s="7">
        <v>0.17408799999999999</v>
      </c>
      <c r="V54" s="7">
        <v>0.19012999999999999</v>
      </c>
      <c r="W54" s="7">
        <v>0.20688200000000001</v>
      </c>
      <c r="X54" s="7">
        <v>0.22286700000000001</v>
      </c>
      <c r="Y54" s="7">
        <v>0.23649400000000001</v>
      </c>
      <c r="Z54" s="7">
        <v>0.247861</v>
      </c>
      <c r="AA54" s="7">
        <v>0.25757400000000003</v>
      </c>
      <c r="AB54" s="7">
        <v>0.26563500000000001</v>
      </c>
    </row>
    <row r="55" spans="1:28" x14ac:dyDescent="0.3">
      <c r="A55" s="1">
        <v>54</v>
      </c>
      <c r="B55" s="2" t="s">
        <v>80</v>
      </c>
      <c r="C55" s="1" t="s">
        <v>81</v>
      </c>
      <c r="D55" s="2">
        <v>0</v>
      </c>
      <c r="E55" s="2" t="str">
        <f t="shared" si="0"/>
        <v>sensitive</v>
      </c>
      <c r="F55" s="1" t="s">
        <v>76</v>
      </c>
      <c r="G55" s="5">
        <v>181</v>
      </c>
      <c r="H55" s="5">
        <v>282</v>
      </c>
      <c r="I55" s="6">
        <v>3.1160220994475099</v>
      </c>
      <c r="J55" s="5">
        <v>9.8117135782942507E-3</v>
      </c>
      <c r="K55" s="5">
        <v>8.7022900763358696E-2</v>
      </c>
      <c r="L55" s="5">
        <v>5.2553709582960802E-2</v>
      </c>
      <c r="M55" s="5">
        <v>1.73112338858195E-2</v>
      </c>
      <c r="N55" s="6">
        <v>310.52733826999997</v>
      </c>
      <c r="O55" s="6">
        <v>0.36946447687919198</v>
      </c>
      <c r="P55" s="6">
        <v>4.4607500503221704</v>
      </c>
      <c r="Q55" s="1">
        <v>2611.1702127659501</v>
      </c>
      <c r="R55" s="1">
        <v>15.644219858155999</v>
      </c>
      <c r="S55" s="7">
        <v>0.16520699999999999</v>
      </c>
      <c r="T55" s="7">
        <v>0.19947500000000001</v>
      </c>
      <c r="U55" s="7">
        <v>0.23594599999999999</v>
      </c>
      <c r="V55" s="7">
        <v>0.25930700000000001</v>
      </c>
      <c r="W55" s="7">
        <v>0.27577000000000002</v>
      </c>
      <c r="X55" s="7">
        <v>0.28654000000000002</v>
      </c>
      <c r="Y55" s="7">
        <v>0.293875</v>
      </c>
      <c r="Z55" s="7">
        <v>0.29916399999999999</v>
      </c>
      <c r="AA55" s="7">
        <v>0.30294399999999999</v>
      </c>
      <c r="AB55" s="7">
        <v>0.30560900000000002</v>
      </c>
    </row>
    <row r="56" spans="1:28" x14ac:dyDescent="0.3">
      <c r="A56" s="1">
        <v>55</v>
      </c>
      <c r="B56" s="2" t="s">
        <v>82</v>
      </c>
      <c r="C56" s="1" t="s">
        <v>83</v>
      </c>
      <c r="D56" s="2">
        <v>0</v>
      </c>
      <c r="E56" s="2" t="str">
        <f t="shared" si="0"/>
        <v>sensitive</v>
      </c>
      <c r="F56" s="1" t="s">
        <v>76</v>
      </c>
      <c r="G56" s="5">
        <v>111</v>
      </c>
      <c r="H56" s="5">
        <v>185</v>
      </c>
      <c r="I56" s="6">
        <v>3.3333333333333299</v>
      </c>
      <c r="J56" s="6">
        <v>2.28979031943457E-2</v>
      </c>
      <c r="K56" s="5">
        <v>5.4421768707482901E-2</v>
      </c>
      <c r="L56" s="5">
        <v>8.9851961178943507E-2</v>
      </c>
      <c r="M56" s="6">
        <v>3.03030303030303E-2</v>
      </c>
      <c r="N56" s="6">
        <v>518.14417544069295</v>
      </c>
      <c r="O56" s="6">
        <v>0.38305128358127</v>
      </c>
      <c r="P56" s="6">
        <v>3.8115253720159301</v>
      </c>
      <c r="Q56" s="1">
        <v>3157.2580645161202</v>
      </c>
      <c r="R56" s="1">
        <v>17.177043010752602</v>
      </c>
      <c r="S56" s="7">
        <v>0.14238899999999999</v>
      </c>
      <c r="T56" s="7">
        <v>0.15520200000000001</v>
      </c>
      <c r="U56" s="7">
        <v>0.17683099999999999</v>
      </c>
      <c r="V56" s="7">
        <v>0.20380200000000001</v>
      </c>
      <c r="W56" s="7">
        <v>0.230961</v>
      </c>
      <c r="X56" s="7">
        <v>0.25342599999999998</v>
      </c>
      <c r="Y56" s="7">
        <v>0.270764</v>
      </c>
      <c r="Z56" s="7">
        <v>0.28339199999999998</v>
      </c>
      <c r="AA56" s="7">
        <v>0.29222300000000001</v>
      </c>
      <c r="AB56" s="7">
        <v>0.29835400000000001</v>
      </c>
    </row>
    <row r="57" spans="1:28" x14ac:dyDescent="0.3">
      <c r="A57" s="1">
        <v>56</v>
      </c>
      <c r="B57" s="2" t="s">
        <v>84</v>
      </c>
      <c r="C57" s="1" t="s">
        <v>85</v>
      </c>
      <c r="D57" s="2">
        <v>0</v>
      </c>
      <c r="E57" s="2" t="str">
        <f t="shared" si="0"/>
        <v>sensitive</v>
      </c>
      <c r="F57" s="1" t="s">
        <v>76</v>
      </c>
      <c r="G57" s="5">
        <v>369</v>
      </c>
      <c r="H57" s="5">
        <v>611</v>
      </c>
      <c r="I57" s="6">
        <v>3.31165311653116</v>
      </c>
      <c r="J57" s="6">
        <v>1.6506170092605001E-2</v>
      </c>
      <c r="K57" s="5">
        <v>7.0187165775401003E-2</v>
      </c>
      <c r="L57" s="5">
        <v>-6.1241794710603599E-2</v>
      </c>
      <c r="M57" s="5">
        <v>8.9990573818781606E-3</v>
      </c>
      <c r="N57" s="6">
        <v>715.92608363770603</v>
      </c>
      <c r="O57" s="6">
        <v>0.41941543232348799</v>
      </c>
      <c r="P57" s="6">
        <v>3.6216248882230202</v>
      </c>
      <c r="Q57" s="1">
        <v>3468.4942716857599</v>
      </c>
      <c r="R57" s="1">
        <v>16.876743044189801</v>
      </c>
      <c r="S57" s="7">
        <v>0.139402</v>
      </c>
      <c r="T57" s="7">
        <v>0.151479</v>
      </c>
      <c r="U57" s="7">
        <v>0.16359199999999999</v>
      </c>
      <c r="V57" s="7">
        <v>0.17809800000000001</v>
      </c>
      <c r="W57" s="7">
        <v>0.19433500000000001</v>
      </c>
      <c r="X57" s="7">
        <v>0.210837</v>
      </c>
      <c r="Y57" s="7">
        <v>0.22548499999999999</v>
      </c>
      <c r="Z57" s="7">
        <v>0.23840500000000001</v>
      </c>
      <c r="AA57" s="7">
        <v>0.24898500000000001</v>
      </c>
      <c r="AB57" s="7">
        <v>0.25798100000000002</v>
      </c>
    </row>
    <row r="58" spans="1:28" x14ac:dyDescent="0.3">
      <c r="A58" s="1">
        <v>57</v>
      </c>
      <c r="B58" s="2" t="s">
        <v>86</v>
      </c>
      <c r="C58" s="1" t="s">
        <v>87</v>
      </c>
      <c r="D58" s="2">
        <v>0</v>
      </c>
      <c r="E58" s="2" t="str">
        <f t="shared" si="0"/>
        <v>sensitive</v>
      </c>
      <c r="F58" s="1" t="s">
        <v>76</v>
      </c>
      <c r="G58" s="5">
        <v>987</v>
      </c>
      <c r="H58" s="5">
        <v>1909</v>
      </c>
      <c r="I58" s="6">
        <v>3.8682877406281602</v>
      </c>
      <c r="J58" s="5">
        <v>3.9572613374794001E-2</v>
      </c>
      <c r="K58" s="6">
        <v>0.180635085892764</v>
      </c>
      <c r="L58" s="5">
        <v>2.4473880121017502E-2</v>
      </c>
      <c r="M58" s="5">
        <v>3.92321271868982E-3</v>
      </c>
      <c r="N58" s="6">
        <v>648.83807475202696</v>
      </c>
      <c r="O58" s="6">
        <v>0.394489027506779</v>
      </c>
      <c r="P58" s="6">
        <v>3.7949134144333998</v>
      </c>
      <c r="Q58" s="1">
        <v>3073.8594651284702</v>
      </c>
      <c r="R58" s="1">
        <v>16.706643943366501</v>
      </c>
      <c r="S58" s="7">
        <v>0.136825</v>
      </c>
      <c r="T58" s="7">
        <v>0.14158999999999999</v>
      </c>
      <c r="U58" s="7">
        <v>0.14739099999999999</v>
      </c>
      <c r="V58" s="7">
        <v>0.15517400000000001</v>
      </c>
      <c r="W58" s="7">
        <v>0.16284399999999999</v>
      </c>
      <c r="X58" s="7">
        <v>0.16961699999999999</v>
      </c>
      <c r="Y58" s="7">
        <v>0.176841</v>
      </c>
      <c r="Z58" s="7">
        <v>0.18398400000000001</v>
      </c>
      <c r="AA58" s="7">
        <v>0.19173000000000001</v>
      </c>
      <c r="AB58" s="7">
        <v>0.199327</v>
      </c>
    </row>
    <row r="59" spans="1:28" x14ac:dyDescent="0.3">
      <c r="A59" s="1">
        <v>58</v>
      </c>
      <c r="B59" s="2" t="s">
        <v>88</v>
      </c>
      <c r="C59" s="1" t="s">
        <v>89</v>
      </c>
      <c r="D59" s="2">
        <v>0</v>
      </c>
      <c r="E59" s="2" t="str">
        <f t="shared" si="0"/>
        <v>sensitive</v>
      </c>
      <c r="F59" s="1" t="s">
        <v>76</v>
      </c>
      <c r="G59" s="5">
        <v>749</v>
      </c>
      <c r="H59" s="5">
        <v>1442</v>
      </c>
      <c r="I59" s="6">
        <v>3.8504672897196199</v>
      </c>
      <c r="J59" s="6">
        <v>2.4399869189203401E-2</v>
      </c>
      <c r="K59" s="6">
        <v>0.15692079940784601</v>
      </c>
      <c r="L59" s="5">
        <v>8.4137930484356596E-2</v>
      </c>
      <c r="M59" s="5">
        <v>5.1476835424059102E-3</v>
      </c>
      <c r="N59" s="6">
        <v>710.31803505820403</v>
      </c>
      <c r="O59" s="6">
        <v>0.32003713749455298</v>
      </c>
      <c r="P59" s="6">
        <v>4.7941892284526304</v>
      </c>
      <c r="Q59" s="1">
        <v>2690.5124653739599</v>
      </c>
      <c r="R59" s="1">
        <v>16.1230193905817</v>
      </c>
      <c r="S59" s="7">
        <v>0.15077699999999999</v>
      </c>
      <c r="T59" s="7">
        <v>0.15496199999999999</v>
      </c>
      <c r="U59" s="7">
        <v>0.16502800000000001</v>
      </c>
      <c r="V59" s="7">
        <v>0.176451</v>
      </c>
      <c r="W59" s="7">
        <v>0.188863</v>
      </c>
      <c r="X59" s="7">
        <v>0.20114499999999999</v>
      </c>
      <c r="Y59" s="7">
        <v>0.21255599999999999</v>
      </c>
      <c r="Z59" s="7">
        <v>0.22215399999999999</v>
      </c>
      <c r="AA59" s="7">
        <v>0.23106399999999999</v>
      </c>
      <c r="AB59" s="7">
        <v>0.23955699999999999</v>
      </c>
    </row>
    <row r="60" spans="1:28" x14ac:dyDescent="0.3">
      <c r="A60" s="1">
        <v>59</v>
      </c>
      <c r="B60" s="2" t="s">
        <v>90</v>
      </c>
      <c r="C60" s="1" t="s">
        <v>91</v>
      </c>
      <c r="D60" s="2">
        <v>0</v>
      </c>
      <c r="E60" s="2" t="str">
        <f t="shared" si="0"/>
        <v>sensitive</v>
      </c>
      <c r="F60" s="1" t="s">
        <v>76</v>
      </c>
      <c r="G60" s="5">
        <v>981</v>
      </c>
      <c r="H60" s="5">
        <v>1596</v>
      </c>
      <c r="I60" s="6">
        <v>3.25382262996941</v>
      </c>
      <c r="J60" s="5">
        <v>5.6651569681642703E-3</v>
      </c>
      <c r="K60" s="5">
        <v>9.5411887382690297E-2</v>
      </c>
      <c r="L60" s="6">
        <v>2.1691441659168399E-2</v>
      </c>
      <c r="M60" s="5">
        <v>3.3202271734381799E-3</v>
      </c>
      <c r="N60" s="6">
        <v>359.508216098226</v>
      </c>
      <c r="O60" s="6">
        <v>0.29500040563575602</v>
      </c>
      <c r="P60" s="6">
        <v>5.2679406143257497</v>
      </c>
      <c r="Q60" s="1">
        <v>3025.1088985687602</v>
      </c>
      <c r="R60" s="1">
        <v>16.776291225886698</v>
      </c>
      <c r="S60" s="7">
        <v>0.140961</v>
      </c>
      <c r="T60" s="7">
        <v>0.147534</v>
      </c>
      <c r="U60" s="7">
        <v>0.15660499999999999</v>
      </c>
      <c r="V60" s="7">
        <v>0.16975599999999999</v>
      </c>
      <c r="W60" s="7">
        <v>0.18121300000000001</v>
      </c>
      <c r="X60" s="7">
        <v>0.190973</v>
      </c>
      <c r="Y60" s="7">
        <v>0.200905</v>
      </c>
      <c r="Z60" s="7">
        <v>0.21154899999999999</v>
      </c>
      <c r="AA60" s="7">
        <v>0.22226099999999999</v>
      </c>
      <c r="AB60" s="7">
        <v>0.23206199999999999</v>
      </c>
    </row>
    <row r="61" spans="1:28" x14ac:dyDescent="0.3">
      <c r="A61" s="1">
        <v>60</v>
      </c>
      <c r="B61" s="2" t="s">
        <v>92</v>
      </c>
      <c r="C61" s="1" t="s">
        <v>93</v>
      </c>
      <c r="D61" s="2">
        <v>0</v>
      </c>
      <c r="E61" s="2" t="str">
        <f t="shared" si="0"/>
        <v>sensitive</v>
      </c>
      <c r="F61" s="1" t="s">
        <v>76</v>
      </c>
      <c r="G61" s="5">
        <v>362</v>
      </c>
      <c r="H61" s="5">
        <v>630</v>
      </c>
      <c r="I61" s="6">
        <v>3.4806629834254101</v>
      </c>
      <c r="J61" s="5">
        <v>3.0717731194185399E-2</v>
      </c>
      <c r="K61" s="6">
        <v>0.104529616724738</v>
      </c>
      <c r="L61" s="6">
        <v>4.9403547040590801E-2</v>
      </c>
      <c r="M61" s="5">
        <v>9.6417257158598699E-3</v>
      </c>
      <c r="N61" s="6">
        <v>567.15471831075399</v>
      </c>
      <c r="O61" s="6">
        <v>0.33669316765139901</v>
      </c>
      <c r="P61" s="6">
        <v>4.4905474497533202</v>
      </c>
      <c r="Q61" s="1">
        <v>2661.2341772151899</v>
      </c>
      <c r="R61" s="1">
        <v>16.018686708860699</v>
      </c>
      <c r="S61" s="7">
        <v>0.14829899999999999</v>
      </c>
      <c r="T61" s="7">
        <v>0.16003100000000001</v>
      </c>
      <c r="U61" s="7">
        <v>0.179175</v>
      </c>
      <c r="V61" s="7">
        <v>0.201016</v>
      </c>
      <c r="W61" s="7">
        <v>0.219662</v>
      </c>
      <c r="X61" s="7">
        <v>0.23633199999999999</v>
      </c>
      <c r="Y61" s="7">
        <v>0.249472</v>
      </c>
      <c r="Z61" s="7">
        <v>0.26008500000000001</v>
      </c>
      <c r="AA61" s="7">
        <v>0.26905299999999999</v>
      </c>
      <c r="AB61" s="7">
        <v>0.27677099999999999</v>
      </c>
    </row>
    <row r="62" spans="1:28" x14ac:dyDescent="0.3">
      <c r="A62" s="1">
        <v>61</v>
      </c>
      <c r="B62" s="2" t="s">
        <v>94</v>
      </c>
      <c r="C62" s="1" t="s">
        <v>95</v>
      </c>
      <c r="D62" s="2">
        <v>0</v>
      </c>
      <c r="E62" s="2" t="str">
        <f t="shared" si="0"/>
        <v>sensitive</v>
      </c>
      <c r="F62" s="1" t="s">
        <v>76</v>
      </c>
      <c r="G62" s="5">
        <v>207</v>
      </c>
      <c r="H62" s="5">
        <v>385</v>
      </c>
      <c r="I62" s="6">
        <v>3.7198067632850198</v>
      </c>
      <c r="J62" s="6">
        <v>2.0545853945935801E-2</v>
      </c>
      <c r="K62" s="6">
        <v>0.13564668769716001</v>
      </c>
      <c r="L62" s="6">
        <v>0.387561621247139</v>
      </c>
      <c r="M62" s="5">
        <v>1.80573143848787E-2</v>
      </c>
      <c r="N62" s="6">
        <v>727.009872266461</v>
      </c>
      <c r="O62" s="6">
        <v>0.37047526013721299</v>
      </c>
      <c r="P62" s="6">
        <v>4.11577973144162</v>
      </c>
      <c r="Q62" s="1">
        <v>2878.7012987012899</v>
      </c>
      <c r="R62" s="1">
        <v>16.568415584415501</v>
      </c>
      <c r="S62" s="7">
        <v>0.15471699999999999</v>
      </c>
      <c r="T62" s="7">
        <v>0.17471900000000001</v>
      </c>
      <c r="U62" s="7">
        <v>0.19999900000000001</v>
      </c>
      <c r="V62" s="7">
        <v>0.221746</v>
      </c>
      <c r="W62" s="7">
        <v>0.237038</v>
      </c>
      <c r="X62" s="7">
        <v>0.248697</v>
      </c>
      <c r="Y62" s="7">
        <v>0.25890099999999999</v>
      </c>
      <c r="Z62" s="7">
        <v>0.26792199999999999</v>
      </c>
      <c r="AA62" s="7">
        <v>0.27523199999999998</v>
      </c>
      <c r="AB62" s="7">
        <v>0.28143099999999999</v>
      </c>
    </row>
    <row r="63" spans="1:28" x14ac:dyDescent="0.3">
      <c r="A63" s="1">
        <v>62</v>
      </c>
      <c r="B63" s="2" t="s">
        <v>96</v>
      </c>
      <c r="C63" s="1" t="s">
        <v>95</v>
      </c>
      <c r="D63" s="2">
        <v>0</v>
      </c>
      <c r="E63" s="2" t="str">
        <f t="shared" si="0"/>
        <v>sensitive</v>
      </c>
      <c r="F63" s="1" t="s">
        <v>76</v>
      </c>
      <c r="G63" s="5">
        <v>749</v>
      </c>
      <c r="H63" s="5">
        <v>1294</v>
      </c>
      <c r="I63" s="6">
        <v>3.4552736982643499</v>
      </c>
      <c r="J63" s="6">
        <v>1.3581369913695299E-2</v>
      </c>
      <c r="K63" s="6">
        <v>0.108214610488026</v>
      </c>
      <c r="L63" s="6">
        <v>0.15263592151665301</v>
      </c>
      <c r="M63" s="5">
        <v>4.6193498639897704E-3</v>
      </c>
      <c r="N63" s="6">
        <v>611.72060746493401</v>
      </c>
      <c r="O63" s="6">
        <v>0.37005544431952297</v>
      </c>
      <c r="P63" s="6">
        <v>4.1721608207013601</v>
      </c>
      <c r="Q63" s="1">
        <v>3008.3783783783701</v>
      </c>
      <c r="R63" s="1">
        <v>16.587166023165999</v>
      </c>
      <c r="S63" s="7">
        <v>0.14818200000000001</v>
      </c>
      <c r="T63" s="7">
        <v>0.161054</v>
      </c>
      <c r="U63" s="7">
        <v>0.174983</v>
      </c>
      <c r="V63" s="7">
        <v>0.18929399999999999</v>
      </c>
      <c r="W63" s="7">
        <v>0.20450399999999999</v>
      </c>
      <c r="X63" s="7">
        <v>0.21760599999999999</v>
      </c>
      <c r="Y63" s="7">
        <v>0.228961</v>
      </c>
      <c r="Z63" s="7">
        <v>0.239065</v>
      </c>
      <c r="AA63" s="7">
        <v>0.248084</v>
      </c>
      <c r="AB63" s="7">
        <v>0.25581900000000002</v>
      </c>
    </row>
    <row r="64" spans="1:28" x14ac:dyDescent="0.3">
      <c r="A64" s="1">
        <v>63</v>
      </c>
      <c r="B64" s="2" t="s">
        <v>97</v>
      </c>
      <c r="C64" s="1" t="s">
        <v>98</v>
      </c>
      <c r="D64" s="2">
        <v>0</v>
      </c>
      <c r="E64" s="2" t="str">
        <f t="shared" si="0"/>
        <v>sensitive</v>
      </c>
      <c r="F64" s="1" t="s">
        <v>76</v>
      </c>
      <c r="G64" s="5">
        <v>472</v>
      </c>
      <c r="H64" s="5">
        <v>950</v>
      </c>
      <c r="I64" s="5">
        <v>4.0254237288135597</v>
      </c>
      <c r="J64" s="5">
        <v>3.9332197632824799E-2</v>
      </c>
      <c r="K64" s="6">
        <v>0.17244796828543099</v>
      </c>
      <c r="L64" s="5">
        <v>2.49043321956115E-2</v>
      </c>
      <c r="M64" s="5">
        <v>8.5465471949332395E-3</v>
      </c>
      <c r="N64" s="6">
        <v>676.061447305603</v>
      </c>
      <c r="O64" s="6">
        <v>0.39576569651784899</v>
      </c>
      <c r="P64" s="6">
        <v>3.8907179137549202</v>
      </c>
      <c r="Q64" s="1">
        <v>2439.1032325338801</v>
      </c>
      <c r="R64" s="1">
        <v>14.0999270072992</v>
      </c>
      <c r="S64" s="7">
        <v>0.15134300000000001</v>
      </c>
      <c r="T64" s="7">
        <v>0.16571900000000001</v>
      </c>
      <c r="U64" s="7">
        <v>0.179983</v>
      </c>
      <c r="V64" s="7">
        <v>0.19267599999999999</v>
      </c>
      <c r="W64" s="7">
        <v>0.20328599999999999</v>
      </c>
      <c r="X64" s="7">
        <v>0.214333</v>
      </c>
      <c r="Y64" s="7">
        <v>0.225606</v>
      </c>
      <c r="Z64" s="7">
        <v>0.23621600000000001</v>
      </c>
      <c r="AA64" s="7">
        <v>0.24595900000000001</v>
      </c>
      <c r="AB64" s="7">
        <v>0.25475999999999999</v>
      </c>
    </row>
    <row r="65" spans="1:28" x14ac:dyDescent="0.3">
      <c r="A65" s="1">
        <v>64</v>
      </c>
      <c r="B65" s="2" t="s">
        <v>99</v>
      </c>
      <c r="C65" s="1" t="s">
        <v>100</v>
      </c>
      <c r="D65" s="2">
        <v>0</v>
      </c>
      <c r="E65" s="2" t="str">
        <f t="shared" si="0"/>
        <v>sensitive</v>
      </c>
      <c r="F65" s="1" t="s">
        <v>76</v>
      </c>
      <c r="G65" s="5">
        <v>123</v>
      </c>
      <c r="H65" s="5">
        <v>199</v>
      </c>
      <c r="I65" s="6">
        <v>3.2357723577235702</v>
      </c>
      <c r="J65" s="6">
        <v>1.99164810262581E-2</v>
      </c>
      <c r="K65" s="5">
        <v>5.4989816700610997E-2</v>
      </c>
      <c r="L65" s="5">
        <v>-2.489773095147E-2</v>
      </c>
      <c r="M65" s="5">
        <v>2.65227242436358E-2</v>
      </c>
      <c r="N65" s="6">
        <v>301.64719585834098</v>
      </c>
      <c r="O65" s="6">
        <v>0.37934264346102298</v>
      </c>
      <c r="P65" s="6">
        <v>4.1019623522893101</v>
      </c>
      <c r="Q65" s="1">
        <v>3519.5979899497402</v>
      </c>
      <c r="R65" s="1">
        <v>17.282361809045199</v>
      </c>
      <c r="S65" s="7">
        <v>0.158662</v>
      </c>
      <c r="T65" s="7">
        <v>0.18799099999999999</v>
      </c>
      <c r="U65" s="7">
        <v>0.22545200000000001</v>
      </c>
      <c r="V65" s="7">
        <v>0.25448399999999999</v>
      </c>
      <c r="W65" s="7">
        <v>0.271484</v>
      </c>
      <c r="X65" s="7">
        <v>0.28166999999999998</v>
      </c>
      <c r="Y65" s="7">
        <v>0.28909400000000002</v>
      </c>
      <c r="Z65" s="7">
        <v>0.29472599999999999</v>
      </c>
      <c r="AA65" s="7">
        <v>0.29907299999999998</v>
      </c>
      <c r="AB65" s="7">
        <v>0.30244500000000002</v>
      </c>
    </row>
    <row r="66" spans="1:28" x14ac:dyDescent="0.3">
      <c r="A66" s="1">
        <v>65</v>
      </c>
      <c r="B66" s="2" t="s">
        <v>101</v>
      </c>
      <c r="C66" s="1" t="s">
        <v>102</v>
      </c>
      <c r="D66" s="2">
        <v>0</v>
      </c>
      <c r="E66" s="2" t="str">
        <f t="shared" si="0"/>
        <v>sensitive</v>
      </c>
      <c r="F66" s="1" t="s">
        <v>76</v>
      </c>
      <c r="G66" s="5">
        <v>102</v>
      </c>
      <c r="H66" s="5">
        <v>182</v>
      </c>
      <c r="I66" s="6">
        <v>3.5686274509803901</v>
      </c>
      <c r="J66" s="5">
        <v>4.1497268641586899E-2</v>
      </c>
      <c r="K66" s="6">
        <v>0.11491935483870901</v>
      </c>
      <c r="L66" s="6">
        <v>3.57314198702572E-2</v>
      </c>
      <c r="M66" s="5">
        <v>3.53329450592118E-2</v>
      </c>
      <c r="N66" s="5">
        <v>465.255666200451</v>
      </c>
      <c r="O66" s="6">
        <v>0.41989978328246702</v>
      </c>
      <c r="P66" s="6">
        <v>3.7634099577959299</v>
      </c>
      <c r="Q66" s="1">
        <v>2376.9230769230699</v>
      </c>
      <c r="R66" s="1">
        <v>14.0108241758241</v>
      </c>
      <c r="S66" s="7">
        <v>0.162913</v>
      </c>
      <c r="T66" s="7">
        <v>0.20006299999999999</v>
      </c>
      <c r="U66" s="7">
        <v>0.23644999999999999</v>
      </c>
      <c r="V66" s="7">
        <v>0.26015300000000002</v>
      </c>
      <c r="W66" s="7">
        <v>0.27489999999999998</v>
      </c>
      <c r="X66" s="7">
        <v>0.28517700000000001</v>
      </c>
      <c r="Y66" s="7">
        <v>0.29222300000000001</v>
      </c>
      <c r="Z66" s="7">
        <v>0.29771900000000001</v>
      </c>
      <c r="AA66" s="7">
        <v>0.30191200000000001</v>
      </c>
      <c r="AB66" s="7">
        <v>0.30512400000000001</v>
      </c>
    </row>
    <row r="67" spans="1:28" x14ac:dyDescent="0.3">
      <c r="A67" s="1">
        <v>66</v>
      </c>
      <c r="B67" s="2" t="s">
        <v>103</v>
      </c>
      <c r="C67" s="1" t="s">
        <v>104</v>
      </c>
      <c r="D67" s="2">
        <v>0</v>
      </c>
      <c r="E67" s="2" t="str">
        <f t="shared" ref="E67:E130" si="1">IF(D67=0,"sensitive","resilient")</f>
        <v>sensitive</v>
      </c>
      <c r="F67" s="1" t="s">
        <v>105</v>
      </c>
      <c r="G67" s="5">
        <v>572</v>
      </c>
      <c r="H67" s="5">
        <v>980</v>
      </c>
      <c r="I67" s="6">
        <v>3.42657342657342</v>
      </c>
      <c r="J67" s="5">
        <v>8.8850453125982401E-3</v>
      </c>
      <c r="K67" s="5">
        <v>5.1435406698564501E-2</v>
      </c>
      <c r="L67" s="5">
        <v>8.6770880073733597E-2</v>
      </c>
      <c r="M67" s="5">
        <v>6.0010042496907601E-3</v>
      </c>
      <c r="N67" s="6">
        <v>527.87205717591405</v>
      </c>
      <c r="O67" s="6">
        <v>0.31888061952878199</v>
      </c>
      <c r="P67" s="6">
        <v>4.7689774136660299</v>
      </c>
      <c r="Q67" s="1">
        <v>4109.4484167517803</v>
      </c>
      <c r="R67" s="1">
        <v>17.9036261491317</v>
      </c>
      <c r="S67" s="7">
        <v>0.130522</v>
      </c>
      <c r="T67" s="7">
        <v>0.134131</v>
      </c>
      <c r="U67" s="7">
        <v>0.14044899999999999</v>
      </c>
      <c r="V67" s="7">
        <v>0.149231</v>
      </c>
      <c r="W67" s="7">
        <v>0.15646199999999999</v>
      </c>
      <c r="X67" s="7">
        <v>0.16434099999999999</v>
      </c>
      <c r="Y67" s="7">
        <v>0.17313000000000001</v>
      </c>
      <c r="Z67" s="7">
        <v>0.18192900000000001</v>
      </c>
      <c r="AA67" s="7">
        <v>0.19137899999999999</v>
      </c>
      <c r="AB67" s="7">
        <v>0.200879</v>
      </c>
    </row>
    <row r="68" spans="1:28" x14ac:dyDescent="0.3">
      <c r="A68" s="1">
        <v>67</v>
      </c>
      <c r="B68" s="2" t="s">
        <v>106</v>
      </c>
      <c r="C68" s="1" t="s">
        <v>104</v>
      </c>
      <c r="D68" s="2">
        <v>0</v>
      </c>
      <c r="E68" s="2" t="str">
        <f t="shared" si="1"/>
        <v>sensitive</v>
      </c>
      <c r="F68" s="1" t="s">
        <v>105</v>
      </c>
      <c r="G68" s="5">
        <v>807</v>
      </c>
      <c r="H68" s="5">
        <v>1511</v>
      </c>
      <c r="I68" s="6">
        <v>3.7447335811647999</v>
      </c>
      <c r="J68" s="5">
        <v>8.4689390344795893E-3</v>
      </c>
      <c r="K68" s="5">
        <v>7.7532013969732194E-2</v>
      </c>
      <c r="L68" s="5">
        <v>8.4703142884872795E-2</v>
      </c>
      <c r="M68" s="5">
        <v>4.6460714406511196E-3</v>
      </c>
      <c r="N68" s="6">
        <v>576.58984685803796</v>
      </c>
      <c r="O68" s="6">
        <v>0.392157306635874</v>
      </c>
      <c r="P68" s="5">
        <v>4.02772865999024</v>
      </c>
      <c r="Q68" s="1">
        <v>3981.34081902245</v>
      </c>
      <c r="R68" s="1">
        <v>18.029524438573301</v>
      </c>
      <c r="S68" s="7">
        <v>0.13231599999999999</v>
      </c>
      <c r="T68" s="7">
        <v>0.138962</v>
      </c>
      <c r="U68" s="7">
        <v>0.147509</v>
      </c>
      <c r="V68" s="7">
        <v>0.15547</v>
      </c>
      <c r="W68" s="7">
        <v>0.16437499999999999</v>
      </c>
      <c r="X68" s="7">
        <v>0.17371500000000001</v>
      </c>
      <c r="Y68" s="7">
        <v>0.182504</v>
      </c>
      <c r="Z68" s="7">
        <v>0.19065699999999999</v>
      </c>
      <c r="AA68" s="7">
        <v>0.19803799999999999</v>
      </c>
      <c r="AB68" s="7">
        <v>0.205508</v>
      </c>
    </row>
    <row r="69" spans="1:28" x14ac:dyDescent="0.3">
      <c r="A69" s="1">
        <v>68</v>
      </c>
      <c r="B69" s="2" t="s">
        <v>107</v>
      </c>
      <c r="C69" s="1" t="s">
        <v>148</v>
      </c>
      <c r="D69" s="2">
        <v>0</v>
      </c>
      <c r="E69" s="2" t="str">
        <f t="shared" si="1"/>
        <v>sensitive</v>
      </c>
      <c r="F69" s="1" t="s">
        <v>105</v>
      </c>
      <c r="G69" s="5">
        <v>820</v>
      </c>
      <c r="H69" s="5">
        <v>1587</v>
      </c>
      <c r="I69" s="6">
        <v>3.8707317073170699</v>
      </c>
      <c r="J69" s="5">
        <v>9.3562810684788295E-3</v>
      </c>
      <c r="K69" s="5">
        <v>5.5663430420711903E-2</v>
      </c>
      <c r="L69" s="6">
        <v>0.12922267531821399</v>
      </c>
      <c r="M69" s="5">
        <v>4.7261681408022798E-3</v>
      </c>
      <c r="N69" s="6">
        <v>555.60797661238405</v>
      </c>
      <c r="O69" s="6">
        <v>0.358490878582783</v>
      </c>
      <c r="P69" s="6">
        <v>4.38889644758979</v>
      </c>
      <c r="Q69" s="1">
        <v>3774.8897290485102</v>
      </c>
      <c r="R69" s="1">
        <v>16.676465028355299</v>
      </c>
      <c r="S69" s="7">
        <v>0.128298</v>
      </c>
      <c r="T69" s="7">
        <v>0.133052</v>
      </c>
      <c r="U69" s="7">
        <v>0.139016</v>
      </c>
      <c r="V69" s="7">
        <v>0.14372199999999999</v>
      </c>
      <c r="W69" s="7">
        <v>0.149705</v>
      </c>
      <c r="X69" s="7">
        <v>0.15606300000000001</v>
      </c>
      <c r="Y69" s="7">
        <v>0.161826</v>
      </c>
      <c r="Z69" s="7">
        <v>0.16866200000000001</v>
      </c>
      <c r="AA69" s="7">
        <v>0.176592</v>
      </c>
      <c r="AB69" s="7">
        <v>0.184694</v>
      </c>
    </row>
    <row r="70" spans="1:28" x14ac:dyDescent="0.3">
      <c r="A70" s="1">
        <v>69</v>
      </c>
      <c r="B70" s="2" t="s">
        <v>108</v>
      </c>
      <c r="C70" s="1" t="s">
        <v>148</v>
      </c>
      <c r="D70" s="2">
        <v>1</v>
      </c>
      <c r="E70" s="2" t="str">
        <f t="shared" si="1"/>
        <v>resilient</v>
      </c>
      <c r="F70" s="1" t="s">
        <v>105</v>
      </c>
      <c r="G70" s="5">
        <v>499</v>
      </c>
      <c r="H70" s="5">
        <v>873</v>
      </c>
      <c r="I70" s="6">
        <v>3.4989979959919801</v>
      </c>
      <c r="J70" s="5">
        <v>7.1899926094267097E-3</v>
      </c>
      <c r="K70" s="5">
        <v>3.1317964332318399E-2</v>
      </c>
      <c r="L70" s="6">
        <v>0.133896179822169</v>
      </c>
      <c r="M70" s="5">
        <v>7.0261003935582003E-3</v>
      </c>
      <c r="N70" s="6">
        <v>573.40908948159301</v>
      </c>
      <c r="O70" s="6">
        <v>0.36825442763408001</v>
      </c>
      <c r="P70" s="6">
        <v>4.0324340620650103</v>
      </c>
      <c r="Q70" s="1">
        <v>5853.9035591274396</v>
      </c>
      <c r="R70" s="1">
        <v>20.703260619977002</v>
      </c>
      <c r="S70" s="7">
        <v>0.12517300000000001</v>
      </c>
      <c r="T70" s="7">
        <v>0.12736500000000001</v>
      </c>
      <c r="U70" s="7">
        <v>0.13194800000000001</v>
      </c>
      <c r="V70" s="7">
        <v>0.13403200000000001</v>
      </c>
      <c r="W70" s="7">
        <v>0.13708000000000001</v>
      </c>
      <c r="X70" s="7">
        <v>0.14169200000000001</v>
      </c>
      <c r="Y70" s="7">
        <v>0.146645</v>
      </c>
      <c r="Z70" s="7">
        <v>0.15254400000000001</v>
      </c>
      <c r="AA70" s="7">
        <v>0.15856799999999999</v>
      </c>
      <c r="AB70" s="7">
        <v>0.16449900000000001</v>
      </c>
    </row>
    <row r="71" spans="1:28" x14ac:dyDescent="0.3">
      <c r="A71" s="1">
        <v>70</v>
      </c>
      <c r="B71" s="2" t="s">
        <v>109</v>
      </c>
      <c r="C71" s="1" t="s">
        <v>148</v>
      </c>
      <c r="D71" s="2">
        <v>1</v>
      </c>
      <c r="E71" s="2" t="str">
        <f t="shared" si="1"/>
        <v>resilient</v>
      </c>
      <c r="F71" s="1" t="s">
        <v>105</v>
      </c>
      <c r="G71" s="5">
        <v>191</v>
      </c>
      <c r="H71" s="5">
        <v>347</v>
      </c>
      <c r="I71" s="6">
        <v>3.63350785340314</v>
      </c>
      <c r="J71" s="6">
        <v>1.15564527569911E-2</v>
      </c>
      <c r="K71" s="5">
        <v>3.4642032332563501E-2</v>
      </c>
      <c r="L71" s="6">
        <v>0.247339077546882</v>
      </c>
      <c r="M71" s="5">
        <v>1.9123725544227001E-2</v>
      </c>
      <c r="N71" s="6">
        <v>639.58968239986996</v>
      </c>
      <c r="O71" s="6">
        <v>0.35616109432973297</v>
      </c>
      <c r="P71" s="6">
        <v>4.2377029487338103</v>
      </c>
      <c r="Q71" s="1">
        <v>4800.1445086705198</v>
      </c>
      <c r="R71" s="1">
        <v>20.1020809248554</v>
      </c>
      <c r="S71" s="7">
        <v>0.13312399999999999</v>
      </c>
      <c r="T71" s="7">
        <v>0.13763600000000001</v>
      </c>
      <c r="U71" s="7">
        <v>0.14674300000000001</v>
      </c>
      <c r="V71" s="7">
        <v>0.15598699999999999</v>
      </c>
      <c r="W71" s="7">
        <v>0.164774</v>
      </c>
      <c r="X71" s="7">
        <v>0.17300299999999999</v>
      </c>
      <c r="Y71" s="7">
        <v>0.18340600000000001</v>
      </c>
      <c r="Z71" s="7">
        <v>0.195385</v>
      </c>
      <c r="AA71" s="7">
        <v>0.20766499999999999</v>
      </c>
      <c r="AB71" s="7">
        <v>0.218968</v>
      </c>
    </row>
    <row r="72" spans="1:28" x14ac:dyDescent="0.3">
      <c r="A72" s="1">
        <v>71</v>
      </c>
      <c r="B72" s="2" t="s">
        <v>110</v>
      </c>
      <c r="C72" s="1" t="s">
        <v>148</v>
      </c>
      <c r="D72" s="2">
        <v>1</v>
      </c>
      <c r="E72" s="2" t="str">
        <f t="shared" si="1"/>
        <v>resilient</v>
      </c>
      <c r="F72" s="1" t="s">
        <v>105</v>
      </c>
      <c r="G72" s="5">
        <v>666</v>
      </c>
      <c r="H72" s="5">
        <v>1174</v>
      </c>
      <c r="I72" s="6">
        <v>3.52552552552552</v>
      </c>
      <c r="J72" s="5">
        <v>4.7017965219066501E-3</v>
      </c>
      <c r="K72" s="5">
        <v>3.5602748282323501E-2</v>
      </c>
      <c r="L72" s="6">
        <v>0.15213721174528499</v>
      </c>
      <c r="M72" s="5">
        <v>5.3015421436473998E-3</v>
      </c>
      <c r="N72" s="6">
        <v>478.79180001577402</v>
      </c>
      <c r="O72" s="6">
        <v>0.317635070492992</v>
      </c>
      <c r="P72" s="6">
        <v>5.0888570063344103</v>
      </c>
      <c r="Q72" s="1">
        <v>4845.7214765100598</v>
      </c>
      <c r="R72" s="1">
        <v>19.276711409395901</v>
      </c>
      <c r="S72" s="7">
        <v>0.13902300000000001</v>
      </c>
      <c r="T72" s="7">
        <v>0.15246999999999999</v>
      </c>
      <c r="U72" s="7">
        <v>0.16322500000000001</v>
      </c>
      <c r="V72" s="7">
        <v>0.171767</v>
      </c>
      <c r="W72" s="7">
        <v>0.17876800000000001</v>
      </c>
      <c r="X72" s="7">
        <v>0.18654799999999999</v>
      </c>
      <c r="Y72" s="7">
        <v>0.194526</v>
      </c>
      <c r="Z72" s="7">
        <v>0.20150299999999999</v>
      </c>
      <c r="AA72" s="7">
        <v>0.208288</v>
      </c>
      <c r="AB72" s="7">
        <v>0.21504100000000001</v>
      </c>
    </row>
    <row r="73" spans="1:28" x14ac:dyDescent="0.3">
      <c r="A73" s="1">
        <v>72</v>
      </c>
      <c r="B73" s="2" t="s">
        <v>111</v>
      </c>
      <c r="C73" s="1" t="s">
        <v>148</v>
      </c>
      <c r="D73" s="2">
        <v>0</v>
      </c>
      <c r="E73" s="2" t="str">
        <f t="shared" si="1"/>
        <v>sensitive</v>
      </c>
      <c r="F73" s="1" t="s">
        <v>105</v>
      </c>
      <c r="G73" s="5">
        <v>452</v>
      </c>
      <c r="H73" s="5">
        <v>806</v>
      </c>
      <c r="I73" s="6">
        <v>3.5663716814159199</v>
      </c>
      <c r="J73" s="5">
        <v>8.6002606958800795E-3</v>
      </c>
      <c r="K73" s="5">
        <v>3.9512195121951199E-2</v>
      </c>
      <c r="L73" s="6">
        <v>0.32812619376934699</v>
      </c>
      <c r="M73" s="5">
        <v>7.9076977414987305E-3</v>
      </c>
      <c r="N73" s="6">
        <v>556.33394068790699</v>
      </c>
      <c r="O73" s="6">
        <v>0.35414437039229002</v>
      </c>
      <c r="P73" s="5">
        <v>4.5070848411020101</v>
      </c>
      <c r="Q73" s="1">
        <v>3712.5310173697198</v>
      </c>
      <c r="R73" s="1">
        <v>17.612642679900699</v>
      </c>
      <c r="S73" s="7">
        <v>0.131714</v>
      </c>
      <c r="T73" s="7">
        <v>0.13689100000000001</v>
      </c>
      <c r="U73" s="7">
        <v>0.14727899999999999</v>
      </c>
      <c r="V73" s="7">
        <v>0.159804</v>
      </c>
      <c r="W73" s="7">
        <v>0.17335200000000001</v>
      </c>
      <c r="X73" s="7">
        <v>0.18634700000000001</v>
      </c>
      <c r="Y73" s="7">
        <v>0.19947899999999999</v>
      </c>
      <c r="Z73" s="7">
        <v>0.212868</v>
      </c>
      <c r="AA73" s="7">
        <v>0.225519</v>
      </c>
      <c r="AB73" s="7">
        <v>0.23680300000000001</v>
      </c>
    </row>
    <row r="74" spans="1:28" x14ac:dyDescent="0.3">
      <c r="A74" s="1">
        <v>73</v>
      </c>
      <c r="B74" s="2" t="s">
        <v>112</v>
      </c>
      <c r="C74" s="1" t="s">
        <v>148</v>
      </c>
      <c r="D74" s="2">
        <v>0</v>
      </c>
      <c r="E74" s="2" t="str">
        <f t="shared" si="1"/>
        <v>sensitive</v>
      </c>
      <c r="F74" s="1" t="s">
        <v>105</v>
      </c>
      <c r="G74" s="5">
        <v>422</v>
      </c>
      <c r="H74" s="5">
        <v>904</v>
      </c>
      <c r="I74" s="6">
        <v>4.2843601895734498</v>
      </c>
      <c r="J74" s="6">
        <v>1.8968097746146401E-2</v>
      </c>
      <c r="K74" s="6">
        <v>0.12580645161290299</v>
      </c>
      <c r="L74" s="6">
        <v>0.30244091276208601</v>
      </c>
      <c r="M74" s="6">
        <v>1.0176627528678E-2</v>
      </c>
      <c r="N74" s="6">
        <v>753.19109507488702</v>
      </c>
      <c r="O74" s="6">
        <v>0.310367323005243</v>
      </c>
      <c r="P74" s="6">
        <v>4.9103391856105896</v>
      </c>
      <c r="Q74" s="1">
        <v>3070.17543859649</v>
      </c>
      <c r="R74" s="1">
        <v>16.8576535087719</v>
      </c>
      <c r="S74" s="7">
        <v>0.13694000000000001</v>
      </c>
      <c r="T74" s="7">
        <v>0.15060299999999999</v>
      </c>
      <c r="U74" s="7">
        <v>0.165214</v>
      </c>
      <c r="V74" s="7">
        <v>0.17416100000000001</v>
      </c>
      <c r="W74" s="7">
        <v>0.18173600000000001</v>
      </c>
      <c r="X74" s="7">
        <v>0.18906100000000001</v>
      </c>
      <c r="Y74" s="7">
        <v>0.19636500000000001</v>
      </c>
      <c r="Z74" s="7">
        <v>0.20357800000000001</v>
      </c>
      <c r="AA74" s="7">
        <v>0.21143999999999999</v>
      </c>
      <c r="AB74" s="7">
        <v>0.219468</v>
      </c>
    </row>
    <row r="75" spans="1:28" x14ac:dyDescent="0.3">
      <c r="A75" s="1">
        <v>74</v>
      </c>
      <c r="B75" s="2" t="s">
        <v>211</v>
      </c>
      <c r="C75" s="1" t="s">
        <v>148</v>
      </c>
      <c r="D75" s="2">
        <v>0</v>
      </c>
      <c r="E75" s="2" t="str">
        <f t="shared" si="1"/>
        <v>sensitive</v>
      </c>
      <c r="F75" s="1" t="s">
        <v>105</v>
      </c>
      <c r="G75" s="5">
        <v>394</v>
      </c>
      <c r="H75" s="5">
        <v>705</v>
      </c>
      <c r="I75" s="6">
        <v>3.5786802030456801</v>
      </c>
      <c r="J75" s="6">
        <v>1.51648194299298E-2</v>
      </c>
      <c r="K75" s="5">
        <v>9.0909090909090898E-2</v>
      </c>
      <c r="L75" s="6">
        <v>0.138237178744856</v>
      </c>
      <c r="M75" s="5">
        <v>9.1060564962994507E-3</v>
      </c>
      <c r="N75" s="6">
        <v>617.58428806928498</v>
      </c>
      <c r="O75" s="6">
        <v>0.343781667675853</v>
      </c>
      <c r="P75" s="6">
        <v>4.4539405563658701</v>
      </c>
      <c r="Q75" s="1">
        <v>3427.20170454545</v>
      </c>
      <c r="R75" s="1">
        <v>17.536917613636302</v>
      </c>
      <c r="S75" s="7">
        <v>0.13841100000000001</v>
      </c>
      <c r="T75" s="7">
        <v>0.14477899999999999</v>
      </c>
      <c r="U75" s="7">
        <v>0.153308</v>
      </c>
      <c r="V75" s="7">
        <v>0.16386400000000001</v>
      </c>
      <c r="W75" s="7">
        <v>0.17478099999999999</v>
      </c>
      <c r="X75" s="7">
        <v>0.186865</v>
      </c>
      <c r="Y75" s="7">
        <v>0.19853100000000001</v>
      </c>
      <c r="Z75" s="7">
        <v>0.211754</v>
      </c>
      <c r="AA75" s="7">
        <v>0.224497</v>
      </c>
      <c r="AB75" s="7">
        <v>0.236291</v>
      </c>
    </row>
    <row r="76" spans="1:28" x14ac:dyDescent="0.3">
      <c r="A76" s="1">
        <v>75</v>
      </c>
      <c r="B76" s="2" t="s">
        <v>212</v>
      </c>
      <c r="C76" s="1" t="s">
        <v>148</v>
      </c>
      <c r="D76" s="2">
        <v>0</v>
      </c>
      <c r="E76" s="2" t="str">
        <f t="shared" si="1"/>
        <v>sensitive</v>
      </c>
      <c r="F76" s="1" t="s">
        <v>105</v>
      </c>
      <c r="G76" s="5">
        <v>424</v>
      </c>
      <c r="H76" s="5">
        <v>770</v>
      </c>
      <c r="I76" s="6">
        <v>3.6320754716981098</v>
      </c>
      <c r="J76" s="5">
        <v>6.7456486323710999E-3</v>
      </c>
      <c r="K76" s="5">
        <v>4.2115114646700903E-2</v>
      </c>
      <c r="L76" s="5">
        <v>9.7373422124687095E-2</v>
      </c>
      <c r="M76" s="5">
        <v>8.5864668361657504E-3</v>
      </c>
      <c r="N76" s="6">
        <v>495.01869816941598</v>
      </c>
      <c r="O76" s="6">
        <v>0.30437055802630297</v>
      </c>
      <c r="P76" s="6">
        <v>5.0917615054689502</v>
      </c>
      <c r="Q76" s="1">
        <v>3787.3202614379002</v>
      </c>
      <c r="R76" s="1">
        <v>18.461411764705801</v>
      </c>
      <c r="S76" s="7">
        <v>0.13284799999999999</v>
      </c>
      <c r="T76" s="7">
        <v>0.13778499999999999</v>
      </c>
      <c r="U76" s="7">
        <v>0.14561399999999999</v>
      </c>
      <c r="V76" s="7">
        <v>0.151806</v>
      </c>
      <c r="W76" s="7">
        <v>0.15910299999999999</v>
      </c>
      <c r="X76" s="7">
        <v>0.16836799999999999</v>
      </c>
      <c r="Y76" s="7">
        <v>0.177088</v>
      </c>
      <c r="Z76" s="7">
        <v>0.18610699999999999</v>
      </c>
      <c r="AA76" s="7">
        <v>0.19647500000000001</v>
      </c>
      <c r="AB76" s="7">
        <v>0.20710899999999999</v>
      </c>
    </row>
    <row r="77" spans="1:28" x14ac:dyDescent="0.3">
      <c r="A77" s="1">
        <v>76</v>
      </c>
      <c r="B77" s="2" t="s">
        <v>116</v>
      </c>
      <c r="C77" s="1" t="s">
        <v>148</v>
      </c>
      <c r="D77" s="2">
        <v>1</v>
      </c>
      <c r="E77" s="2" t="str">
        <f t="shared" si="1"/>
        <v>resilient</v>
      </c>
      <c r="F77" s="1" t="s">
        <v>105</v>
      </c>
      <c r="G77" s="5">
        <v>463</v>
      </c>
      <c r="H77" s="5">
        <v>812</v>
      </c>
      <c r="I77" s="6">
        <v>3.5075593952483799</v>
      </c>
      <c r="J77" s="6">
        <v>1.31759274197762E-2</v>
      </c>
      <c r="K77" s="5">
        <v>8.8075880758807498E-2</v>
      </c>
      <c r="L77" s="5">
        <v>4.4762477043255998E-2</v>
      </c>
      <c r="M77" s="5">
        <v>7.5921199031350204E-3</v>
      </c>
      <c r="N77" s="6">
        <v>605.60075265215403</v>
      </c>
      <c r="O77" s="6">
        <v>0.41774913786467599</v>
      </c>
      <c r="P77" s="6">
        <v>3.5417655981178102</v>
      </c>
      <c r="Q77" s="1">
        <v>5093.5483870967701</v>
      </c>
      <c r="R77" s="1">
        <v>20.946332138590201</v>
      </c>
      <c r="S77" s="7">
        <v>0.12815299999999999</v>
      </c>
      <c r="T77" s="7">
        <v>0.1323</v>
      </c>
      <c r="U77" s="7">
        <v>0.13580300000000001</v>
      </c>
      <c r="V77" s="7">
        <v>0.142398</v>
      </c>
      <c r="W77" s="7">
        <v>0.14884800000000001</v>
      </c>
      <c r="X77" s="7">
        <v>0.15606600000000001</v>
      </c>
      <c r="Y77" s="7">
        <v>0.16356799999999999</v>
      </c>
      <c r="Z77" s="7">
        <v>0.170629</v>
      </c>
      <c r="AA77" s="7">
        <v>0.17774300000000001</v>
      </c>
      <c r="AB77" s="7">
        <v>0.184782</v>
      </c>
    </row>
    <row r="78" spans="1:28" x14ac:dyDescent="0.3">
      <c r="A78" s="1">
        <v>77</v>
      </c>
      <c r="B78" s="2" t="s">
        <v>117</v>
      </c>
      <c r="C78" s="1" t="s">
        <v>148</v>
      </c>
      <c r="D78" s="2">
        <v>0</v>
      </c>
      <c r="E78" s="2" t="str">
        <f t="shared" si="1"/>
        <v>sensitive</v>
      </c>
      <c r="F78" s="1" t="s">
        <v>105</v>
      </c>
      <c r="G78" s="5">
        <v>578</v>
      </c>
      <c r="H78" s="5">
        <v>1004</v>
      </c>
      <c r="I78" s="6">
        <v>3.4740484429065699</v>
      </c>
      <c r="J78" s="5">
        <v>3.2605924415214601E-3</v>
      </c>
      <c r="K78" s="5">
        <v>3.6504424778761001E-2</v>
      </c>
      <c r="L78" s="6">
        <v>5.2498479796326103E-2</v>
      </c>
      <c r="M78" s="5">
        <v>6.0208811835469203E-3</v>
      </c>
      <c r="N78" s="6">
        <v>635.78011269628598</v>
      </c>
      <c r="O78" s="6">
        <v>0.34999485289316801</v>
      </c>
      <c r="P78" s="6">
        <v>4.3583692131210299</v>
      </c>
      <c r="Q78" s="1">
        <v>3453.1840796019901</v>
      </c>
      <c r="R78" s="1">
        <v>17.619661691542198</v>
      </c>
      <c r="S78" s="7">
        <v>0.13727700000000001</v>
      </c>
      <c r="T78" s="7">
        <v>0.14158699999999999</v>
      </c>
      <c r="U78" s="7">
        <v>0.148313</v>
      </c>
      <c r="V78" s="7">
        <v>0.15638199999999999</v>
      </c>
      <c r="W78" s="7">
        <v>0.163665</v>
      </c>
      <c r="X78" s="7">
        <v>0.17122499999999999</v>
      </c>
      <c r="Y78" s="7">
        <v>0.180307</v>
      </c>
      <c r="Z78" s="7">
        <v>0.19000500000000001</v>
      </c>
      <c r="AA78" s="7">
        <v>0.19905</v>
      </c>
      <c r="AB78" s="7">
        <v>0.20893100000000001</v>
      </c>
    </row>
    <row r="79" spans="1:28" x14ac:dyDescent="0.3">
      <c r="A79" s="1">
        <v>78</v>
      </c>
      <c r="B79" s="2" t="s">
        <v>118</v>
      </c>
      <c r="C79" s="1" t="s">
        <v>148</v>
      </c>
      <c r="D79" s="2">
        <v>0</v>
      </c>
      <c r="E79" s="2" t="str">
        <f t="shared" si="1"/>
        <v>sensitive</v>
      </c>
      <c r="F79" s="1" t="s">
        <v>105</v>
      </c>
      <c r="G79" s="5">
        <v>923</v>
      </c>
      <c r="H79" s="5">
        <v>1513</v>
      </c>
      <c r="I79" s="6">
        <v>3.2784398699891599</v>
      </c>
      <c r="J79" s="5">
        <v>5.4064894277665197E-3</v>
      </c>
      <c r="K79" s="5">
        <v>4.83606557377049E-2</v>
      </c>
      <c r="L79" s="5">
        <v>7.5137486557691494E-2</v>
      </c>
      <c r="M79" s="5">
        <v>3.5557916160403099E-3</v>
      </c>
      <c r="N79" s="6">
        <v>468.89355639326402</v>
      </c>
      <c r="O79" s="6">
        <v>0.30536540873003698</v>
      </c>
      <c r="P79" s="6">
        <v>5.0134965239152702</v>
      </c>
      <c r="Q79" s="1">
        <v>3797.08802117802</v>
      </c>
      <c r="R79" s="1">
        <v>17.899794837855701</v>
      </c>
      <c r="S79" s="7">
        <v>0.13552700000000001</v>
      </c>
      <c r="T79" s="7">
        <v>0.141151</v>
      </c>
      <c r="U79" s="7">
        <v>0.14690800000000001</v>
      </c>
      <c r="V79" s="7">
        <v>0.15495300000000001</v>
      </c>
      <c r="W79" s="7">
        <v>0.16514300000000001</v>
      </c>
      <c r="X79" s="7">
        <v>0.174065</v>
      </c>
      <c r="Y79" s="7">
        <v>0.18267800000000001</v>
      </c>
      <c r="Z79" s="7">
        <v>0.190245</v>
      </c>
      <c r="AA79" s="7">
        <v>0.19836000000000001</v>
      </c>
      <c r="AB79" s="7">
        <v>0.20618900000000001</v>
      </c>
    </row>
    <row r="80" spans="1:28" x14ac:dyDescent="0.3">
      <c r="A80" s="1">
        <v>79</v>
      </c>
      <c r="B80" s="2" t="s">
        <v>119</v>
      </c>
      <c r="C80" s="1" t="s">
        <v>148</v>
      </c>
      <c r="D80" s="2">
        <v>0</v>
      </c>
      <c r="E80" s="2" t="str">
        <f t="shared" si="1"/>
        <v>sensitive</v>
      </c>
      <c r="F80" s="1" t="s">
        <v>105</v>
      </c>
      <c r="G80" s="5">
        <v>244</v>
      </c>
      <c r="H80" s="5">
        <v>411</v>
      </c>
      <c r="I80" s="6">
        <v>3.3688524590163902</v>
      </c>
      <c r="J80" s="5">
        <v>9.1574111899970605E-3</v>
      </c>
      <c r="K80" s="6">
        <v>0.10027855153203299</v>
      </c>
      <c r="L80" s="6">
        <v>2.05203520688635E-2</v>
      </c>
      <c r="M80" s="6">
        <v>1.3863590366322599E-2</v>
      </c>
      <c r="N80" s="6">
        <v>349.47370544390998</v>
      </c>
      <c r="O80" s="6">
        <v>0.38354212704067397</v>
      </c>
      <c r="P80" s="6">
        <v>4.0809198285654604</v>
      </c>
      <c r="Q80" s="1">
        <v>2785.8851674641101</v>
      </c>
      <c r="R80" s="1">
        <v>15.2845454545454</v>
      </c>
      <c r="S80" s="7">
        <v>0.14410400000000001</v>
      </c>
      <c r="T80" s="7">
        <v>0.15940199999999999</v>
      </c>
      <c r="U80" s="7">
        <v>0.17876700000000001</v>
      </c>
      <c r="V80" s="7">
        <v>0.201349</v>
      </c>
      <c r="W80" s="7">
        <v>0.220197</v>
      </c>
      <c r="X80" s="7">
        <v>0.238597</v>
      </c>
      <c r="Y80" s="7">
        <v>0.25433299999999998</v>
      </c>
      <c r="Z80" s="7">
        <v>0.26687300000000003</v>
      </c>
      <c r="AA80" s="7">
        <v>0.27674100000000001</v>
      </c>
      <c r="AB80" s="7">
        <v>0.28451100000000001</v>
      </c>
    </row>
    <row r="81" spans="1:28" x14ac:dyDescent="0.3">
      <c r="A81" s="1">
        <v>80</v>
      </c>
      <c r="B81" s="2" t="s">
        <v>120</v>
      </c>
      <c r="C81" s="1" t="s">
        <v>148</v>
      </c>
      <c r="D81" s="2">
        <v>1</v>
      </c>
      <c r="E81" s="2" t="str">
        <f t="shared" si="1"/>
        <v>resilient</v>
      </c>
      <c r="F81" s="1" t="s">
        <v>105</v>
      </c>
      <c r="G81" s="5">
        <v>128</v>
      </c>
      <c r="H81" s="5">
        <v>232</v>
      </c>
      <c r="I81" s="5">
        <v>3.625</v>
      </c>
      <c r="J81" s="5">
        <v>2.25766253738439E-2</v>
      </c>
      <c r="K81" s="6">
        <v>0.10344827586206801</v>
      </c>
      <c r="L81" s="5">
        <v>6.5399383143450604E-2</v>
      </c>
      <c r="M81" s="6">
        <v>2.8543307086614102E-2</v>
      </c>
      <c r="N81" s="6">
        <v>554.12413164552595</v>
      </c>
      <c r="O81" s="6">
        <v>0.34647062944203599</v>
      </c>
      <c r="P81" s="6">
        <v>4.3108196599209796</v>
      </c>
      <c r="Q81" s="1">
        <v>5365.9482758620597</v>
      </c>
      <c r="R81" s="1">
        <v>19.7315948275862</v>
      </c>
      <c r="S81" s="7">
        <v>0.128307</v>
      </c>
      <c r="T81" s="7">
        <v>0.13340399999999999</v>
      </c>
      <c r="U81" s="7">
        <v>0.14013300000000001</v>
      </c>
      <c r="V81" s="7">
        <v>0.14805499999999999</v>
      </c>
      <c r="W81" s="7">
        <v>0.157524</v>
      </c>
      <c r="X81" s="7">
        <v>0.17086299999999999</v>
      </c>
      <c r="Y81" s="7">
        <v>0.18517900000000001</v>
      </c>
      <c r="Z81" s="7">
        <v>0.20022699999999999</v>
      </c>
      <c r="AA81" s="7">
        <v>0.21449199999999999</v>
      </c>
      <c r="AB81" s="7">
        <v>0.22754099999999999</v>
      </c>
    </row>
    <row r="82" spans="1:28" x14ac:dyDescent="0.3">
      <c r="A82" s="1">
        <v>81</v>
      </c>
      <c r="B82" s="2" t="s">
        <v>121</v>
      </c>
      <c r="C82" s="1" t="s">
        <v>148</v>
      </c>
      <c r="D82" s="2">
        <v>0</v>
      </c>
      <c r="E82" s="2" t="str">
        <f t="shared" si="1"/>
        <v>sensitive</v>
      </c>
      <c r="F82" s="1" t="s">
        <v>105</v>
      </c>
      <c r="G82" s="5">
        <v>721</v>
      </c>
      <c r="H82" s="5">
        <v>1317</v>
      </c>
      <c r="I82" s="6">
        <v>3.65325936199722</v>
      </c>
      <c r="J82" s="6">
        <v>2.02839885361072E-2</v>
      </c>
      <c r="K82" s="5">
        <v>9.8711269536605403E-2</v>
      </c>
      <c r="L82" s="6">
        <v>0.10105290131162099</v>
      </c>
      <c r="M82" s="5">
        <v>5.0739713361072497E-3</v>
      </c>
      <c r="N82" s="5">
        <v>609.90955615827102</v>
      </c>
      <c r="O82" s="6">
        <v>0.34057511499939003</v>
      </c>
      <c r="P82" s="6">
        <v>4.6934063523355496</v>
      </c>
      <c r="Q82" s="1">
        <v>2955.6567957479101</v>
      </c>
      <c r="R82" s="1">
        <v>16.635694760820002</v>
      </c>
      <c r="S82" s="7">
        <v>0.14341400000000001</v>
      </c>
      <c r="T82" s="7">
        <v>0.15113499999999999</v>
      </c>
      <c r="U82" s="7">
        <v>0.16034300000000001</v>
      </c>
      <c r="V82" s="7">
        <v>0.17152300000000001</v>
      </c>
      <c r="W82" s="7">
        <v>0.18565799999999999</v>
      </c>
      <c r="X82" s="7">
        <v>0.19897000000000001</v>
      </c>
      <c r="Y82" s="7">
        <v>0.211425</v>
      </c>
      <c r="Z82" s="7">
        <v>0.22297400000000001</v>
      </c>
      <c r="AA82" s="7">
        <v>0.23308499999999999</v>
      </c>
      <c r="AB82" s="7">
        <v>0.24204200000000001</v>
      </c>
    </row>
    <row r="83" spans="1:28" x14ac:dyDescent="0.3">
      <c r="A83" s="1">
        <v>82</v>
      </c>
      <c r="B83" s="2" t="s">
        <v>122</v>
      </c>
      <c r="C83" s="1" t="s">
        <v>148</v>
      </c>
      <c r="D83" s="2">
        <v>1</v>
      </c>
      <c r="E83" s="2" t="str">
        <f t="shared" si="1"/>
        <v>resilient</v>
      </c>
      <c r="F83" s="1" t="s">
        <v>105</v>
      </c>
      <c r="G83" s="5">
        <v>238</v>
      </c>
      <c r="H83" s="5">
        <v>459</v>
      </c>
      <c r="I83" s="6">
        <v>3.8571428571428501</v>
      </c>
      <c r="J83" s="6">
        <v>1.6314211788142598E-2</v>
      </c>
      <c r="K83" s="5">
        <v>8.66666666666666E-2</v>
      </c>
      <c r="L83" s="6">
        <v>0.12164157071154399</v>
      </c>
      <c r="M83" s="5">
        <v>1.62748643761302E-2</v>
      </c>
      <c r="N83" s="6">
        <v>516.42672847580002</v>
      </c>
      <c r="O83" s="6">
        <v>0.37778732713347901</v>
      </c>
      <c r="P83" s="6">
        <v>3.8635479935230901</v>
      </c>
      <c r="Q83" s="1">
        <v>4222.8448275862002</v>
      </c>
      <c r="R83" s="1">
        <v>18.786400862068898</v>
      </c>
      <c r="S83" s="7">
        <v>0.127079</v>
      </c>
      <c r="T83" s="7">
        <v>0.13014300000000001</v>
      </c>
      <c r="U83" s="7">
        <v>0.13525899999999999</v>
      </c>
      <c r="V83" s="7">
        <v>0.14168</v>
      </c>
      <c r="W83" s="7">
        <v>0.148892</v>
      </c>
      <c r="X83" s="7">
        <v>0.157941</v>
      </c>
      <c r="Y83" s="7">
        <v>0.16697600000000001</v>
      </c>
      <c r="Z83" s="7">
        <v>0.17698700000000001</v>
      </c>
      <c r="AA83" s="7">
        <v>0.18815000000000001</v>
      </c>
      <c r="AB83" s="7">
        <v>0.19989499999999999</v>
      </c>
    </row>
    <row r="84" spans="1:28" x14ac:dyDescent="0.3">
      <c r="A84" s="1">
        <v>83</v>
      </c>
      <c r="B84" s="2" t="s">
        <v>123</v>
      </c>
      <c r="C84" s="1" t="s">
        <v>148</v>
      </c>
      <c r="D84" s="2">
        <v>1</v>
      </c>
      <c r="E84" s="2" t="str">
        <f t="shared" si="1"/>
        <v>resilient</v>
      </c>
      <c r="F84" s="1" t="s">
        <v>105</v>
      </c>
      <c r="G84" s="5">
        <v>164</v>
      </c>
      <c r="H84" s="5">
        <v>337</v>
      </c>
      <c r="I84" s="6">
        <v>4.1097560975609699</v>
      </c>
      <c r="J84" s="6">
        <v>2.0538595229525902E-2</v>
      </c>
      <c r="K84" s="5">
        <v>7.9401611047180604E-2</v>
      </c>
      <c r="L84" s="6">
        <v>0.47403372402607302</v>
      </c>
      <c r="M84" s="6">
        <v>2.52132275923986E-2</v>
      </c>
      <c r="N84" s="6">
        <v>580.07551163391201</v>
      </c>
      <c r="O84" s="6">
        <v>0.41908688928402399</v>
      </c>
      <c r="P84" s="6">
        <v>3.4775643524643098</v>
      </c>
      <c r="Q84" s="1">
        <v>4411.4925373134301</v>
      </c>
      <c r="R84" s="1">
        <v>19.270567164179099</v>
      </c>
      <c r="S84" s="7">
        <v>0.128413</v>
      </c>
      <c r="T84" s="7">
        <v>0.132242</v>
      </c>
      <c r="U84" s="7">
        <v>0.138178</v>
      </c>
      <c r="V84" s="7">
        <v>0.14489299999999999</v>
      </c>
      <c r="W84" s="7">
        <v>0.151479</v>
      </c>
      <c r="X84" s="7">
        <v>0.15980900000000001</v>
      </c>
      <c r="Y84" s="7">
        <v>0.16925000000000001</v>
      </c>
      <c r="Z84" s="7">
        <v>0.18001300000000001</v>
      </c>
      <c r="AA84" s="7">
        <v>0.193048</v>
      </c>
      <c r="AB84" s="7">
        <v>0.20700499999999999</v>
      </c>
    </row>
    <row r="85" spans="1:28" x14ac:dyDescent="0.3">
      <c r="A85" s="1">
        <v>84</v>
      </c>
      <c r="B85" s="2" t="s">
        <v>124</v>
      </c>
      <c r="C85" s="1" t="s">
        <v>148</v>
      </c>
      <c r="D85" s="2">
        <v>1</v>
      </c>
      <c r="E85" s="2" t="str">
        <f t="shared" si="1"/>
        <v>resilient</v>
      </c>
      <c r="F85" s="1" t="s">
        <v>105</v>
      </c>
      <c r="G85" s="5">
        <v>156</v>
      </c>
      <c r="H85" s="5">
        <v>279</v>
      </c>
      <c r="I85" s="6">
        <v>3.57692307692307</v>
      </c>
      <c r="J85" s="6">
        <v>2.8013668075881501E-2</v>
      </c>
      <c r="K85" s="5">
        <v>5.5007052186177699E-2</v>
      </c>
      <c r="L85" s="5">
        <v>6.9661708011222498E-2</v>
      </c>
      <c r="M85" s="6">
        <v>2.3076923076922998E-2</v>
      </c>
      <c r="N85" s="6">
        <v>463.80750598223699</v>
      </c>
      <c r="O85" s="6">
        <v>0.36839815340109699</v>
      </c>
      <c r="P85" s="5">
        <v>4.0651718921408602</v>
      </c>
      <c r="Q85" s="1">
        <v>4887.4100719424396</v>
      </c>
      <c r="R85" s="1">
        <v>19.783381294963998</v>
      </c>
      <c r="S85" s="7">
        <v>0.12699299999999999</v>
      </c>
      <c r="T85" s="7">
        <v>0.134577</v>
      </c>
      <c r="U85" s="7">
        <v>0.145673</v>
      </c>
      <c r="V85" s="7">
        <v>0.155303</v>
      </c>
      <c r="W85" s="7">
        <v>0.167044</v>
      </c>
      <c r="X85" s="7">
        <v>0.182841</v>
      </c>
      <c r="Y85" s="7">
        <v>0.19939100000000001</v>
      </c>
      <c r="Z85" s="7">
        <v>0.21515699999999999</v>
      </c>
      <c r="AA85" s="7">
        <v>0.22950499999999999</v>
      </c>
      <c r="AB85" s="7">
        <v>0.24177599999999999</v>
      </c>
    </row>
    <row r="86" spans="1:28" x14ac:dyDescent="0.3">
      <c r="A86" s="1">
        <v>85</v>
      </c>
      <c r="B86" s="2" t="s">
        <v>125</v>
      </c>
      <c r="C86" s="1" t="s">
        <v>148</v>
      </c>
      <c r="D86" s="2">
        <v>1</v>
      </c>
      <c r="E86" s="2" t="str">
        <f t="shared" si="1"/>
        <v>resilient</v>
      </c>
      <c r="F86" s="1" t="s">
        <v>105</v>
      </c>
      <c r="G86" s="5">
        <v>996</v>
      </c>
      <c r="H86" s="5">
        <v>1665</v>
      </c>
      <c r="I86" s="6">
        <v>3.3433734939758999</v>
      </c>
      <c r="J86" s="5">
        <v>2.53942498427611E-3</v>
      </c>
      <c r="K86" s="5">
        <v>6.7718446601941706E-2</v>
      </c>
      <c r="L86" s="6">
        <v>0.122247372550639</v>
      </c>
      <c r="M86" s="5">
        <v>3.3601743658049198E-3</v>
      </c>
      <c r="N86" s="6">
        <v>721.77621241137695</v>
      </c>
      <c r="O86" s="6">
        <v>0.37594120043817503</v>
      </c>
      <c r="P86" s="6">
        <v>4.1333747186890797</v>
      </c>
      <c r="Q86" s="1">
        <v>6452.2864019253902</v>
      </c>
      <c r="R86" s="1">
        <v>21.308002406738801</v>
      </c>
      <c r="S86" s="7">
        <v>0.128139</v>
      </c>
      <c r="T86" s="7">
        <v>0.13103600000000001</v>
      </c>
      <c r="U86" s="7">
        <v>0.13453599999999999</v>
      </c>
      <c r="V86" s="7">
        <v>0.13816500000000001</v>
      </c>
      <c r="W86" s="7">
        <v>0.141789</v>
      </c>
      <c r="X86" s="7">
        <v>0.14533399999999999</v>
      </c>
      <c r="Y86" s="7">
        <v>0.14970700000000001</v>
      </c>
      <c r="Z86" s="7">
        <v>0.15432000000000001</v>
      </c>
      <c r="AA86" s="7">
        <v>0.15935099999999999</v>
      </c>
      <c r="AB86" s="7">
        <v>0.16450000000000001</v>
      </c>
    </row>
    <row r="87" spans="1:28" x14ac:dyDescent="0.3">
      <c r="A87" s="1">
        <v>86</v>
      </c>
      <c r="B87" s="2" t="s">
        <v>126</v>
      </c>
      <c r="C87" s="1" t="s">
        <v>148</v>
      </c>
      <c r="D87" s="2">
        <v>0</v>
      </c>
      <c r="E87" s="2" t="str">
        <f t="shared" si="1"/>
        <v>sensitive</v>
      </c>
      <c r="F87" s="1" t="s">
        <v>105</v>
      </c>
      <c r="G87" s="5">
        <v>146</v>
      </c>
      <c r="H87" s="5">
        <v>250</v>
      </c>
      <c r="I87" s="6">
        <v>3.4246575342465699</v>
      </c>
      <c r="J87" s="5">
        <v>9.4983995405899802E-3</v>
      </c>
      <c r="K87" s="5">
        <v>3.2457496136012301E-2</v>
      </c>
      <c r="L87" s="5">
        <v>0.14800655379573999</v>
      </c>
      <c r="M87" s="6">
        <v>2.3618327822390098E-2</v>
      </c>
      <c r="N87" s="6">
        <v>576.42627478738598</v>
      </c>
      <c r="O87" s="6">
        <v>0.37330539480167302</v>
      </c>
      <c r="P87" s="6">
        <v>3.8922279242233802</v>
      </c>
      <c r="Q87" s="1">
        <v>4526.3374485596696</v>
      </c>
      <c r="R87" s="1">
        <v>19.478765432098701</v>
      </c>
      <c r="S87" s="7">
        <v>0.13520499999999999</v>
      </c>
      <c r="T87" s="7">
        <v>0.14174300000000001</v>
      </c>
      <c r="U87" s="7">
        <v>0.15445</v>
      </c>
      <c r="V87" s="7">
        <v>0.166904</v>
      </c>
      <c r="W87" s="7">
        <v>0.182282</v>
      </c>
      <c r="X87" s="7">
        <v>0.19609099999999999</v>
      </c>
      <c r="Y87" s="7">
        <v>0.209671</v>
      </c>
      <c r="Z87" s="7">
        <v>0.22226299999999999</v>
      </c>
      <c r="AA87" s="7">
        <v>0.23591500000000001</v>
      </c>
      <c r="AB87" s="7">
        <v>0.24801699999999999</v>
      </c>
    </row>
    <row r="88" spans="1:28" x14ac:dyDescent="0.3">
      <c r="A88" s="1">
        <v>87</v>
      </c>
      <c r="B88" s="2" t="s">
        <v>127</v>
      </c>
      <c r="C88" s="1" t="s">
        <v>148</v>
      </c>
      <c r="D88" s="2">
        <v>1</v>
      </c>
      <c r="E88" s="2" t="str">
        <f t="shared" si="1"/>
        <v>resilient</v>
      </c>
      <c r="F88" s="1" t="s">
        <v>105</v>
      </c>
      <c r="G88" s="5">
        <v>726</v>
      </c>
      <c r="H88" s="5">
        <v>1265</v>
      </c>
      <c r="I88" s="6">
        <v>3.48484848484848</v>
      </c>
      <c r="J88" s="5">
        <v>1.10534409844882E-2</v>
      </c>
      <c r="K88" s="5">
        <v>6.3810110974105994E-2</v>
      </c>
      <c r="L88" s="6">
        <v>0.224510775150392</v>
      </c>
      <c r="M88" s="5">
        <v>4.8066875653082503E-3</v>
      </c>
      <c r="N88" s="6">
        <v>541.07875917600995</v>
      </c>
      <c r="O88" s="6">
        <v>0.38812477055154598</v>
      </c>
      <c r="P88" s="6">
        <v>3.8970449410030099</v>
      </c>
      <c r="Q88" s="1">
        <v>6388.7666666666601</v>
      </c>
      <c r="R88" s="1">
        <v>21.276253333333301</v>
      </c>
      <c r="S88" s="7">
        <v>0.12634999999999999</v>
      </c>
      <c r="T88" s="7">
        <v>0.12878999999999999</v>
      </c>
      <c r="U88" s="7">
        <v>0.131907</v>
      </c>
      <c r="V88" s="7">
        <v>0.135015</v>
      </c>
      <c r="W88" s="7">
        <v>0.139262</v>
      </c>
      <c r="X88" s="7">
        <v>0.14438100000000001</v>
      </c>
      <c r="Y88" s="7">
        <v>0.15032599999999999</v>
      </c>
      <c r="Z88" s="7">
        <v>0.157551</v>
      </c>
      <c r="AA88" s="7">
        <v>0.16444</v>
      </c>
      <c r="AB88" s="7">
        <v>0.172098</v>
      </c>
    </row>
    <row r="89" spans="1:28" x14ac:dyDescent="0.3">
      <c r="A89" s="1">
        <v>88</v>
      </c>
      <c r="B89" s="2" t="s">
        <v>128</v>
      </c>
      <c r="C89" s="1" t="s">
        <v>129</v>
      </c>
      <c r="D89" s="2">
        <v>0</v>
      </c>
      <c r="E89" s="2" t="str">
        <f t="shared" si="1"/>
        <v>sensitive</v>
      </c>
      <c r="F89" s="1" t="s">
        <v>130</v>
      </c>
      <c r="G89" s="5">
        <v>557</v>
      </c>
      <c r="H89" s="5">
        <v>928</v>
      </c>
      <c r="I89" s="5">
        <v>3.3321364452423698</v>
      </c>
      <c r="J89" s="6">
        <v>2.14006744403385E-2</v>
      </c>
      <c r="K89" s="5">
        <v>7.8192875760208502E-2</v>
      </c>
      <c r="L89" s="5">
        <v>4.9422914521363201E-2</v>
      </c>
      <c r="M89" s="5">
        <v>5.9930511605078597E-3</v>
      </c>
      <c r="N89" s="6">
        <v>417.20326448488402</v>
      </c>
      <c r="O89" s="5">
        <v>0.39648817530334401</v>
      </c>
      <c r="P89" s="6">
        <v>3.7790146554064501</v>
      </c>
      <c r="Q89" s="1">
        <v>2642.33261339092</v>
      </c>
      <c r="R89" s="1">
        <v>15.624438444924399</v>
      </c>
      <c r="S89" s="7">
        <v>0.15397</v>
      </c>
      <c r="T89" s="7">
        <v>0.16960800000000001</v>
      </c>
      <c r="U89" s="7">
        <v>0.18439700000000001</v>
      </c>
      <c r="V89" s="7">
        <v>0.202374</v>
      </c>
      <c r="W89" s="7">
        <v>0.221692</v>
      </c>
      <c r="X89" s="7">
        <v>0.23924899999999999</v>
      </c>
      <c r="Y89" s="7">
        <v>0.25379000000000002</v>
      </c>
      <c r="Z89" s="7">
        <v>0.265461</v>
      </c>
      <c r="AA89" s="7">
        <v>0.27471600000000002</v>
      </c>
      <c r="AB89" s="7">
        <v>0.28204499999999999</v>
      </c>
    </row>
    <row r="90" spans="1:28" x14ac:dyDescent="0.3">
      <c r="A90" s="1">
        <v>89</v>
      </c>
      <c r="B90" s="2" t="s">
        <v>131</v>
      </c>
      <c r="C90" s="1" t="s">
        <v>129</v>
      </c>
      <c r="D90" s="2">
        <v>0</v>
      </c>
      <c r="E90" s="2" t="str">
        <f t="shared" si="1"/>
        <v>sensitive</v>
      </c>
      <c r="F90" s="1" t="s">
        <v>130</v>
      </c>
      <c r="G90" s="5">
        <v>151</v>
      </c>
      <c r="H90" s="5">
        <v>253</v>
      </c>
      <c r="I90" s="6">
        <v>3.35099337748344</v>
      </c>
      <c r="J90" s="5">
        <v>9.9827866602037098E-3</v>
      </c>
      <c r="K90" s="5">
        <v>6.5546218487394906E-2</v>
      </c>
      <c r="L90" s="5">
        <v>7.8875732164679094E-2</v>
      </c>
      <c r="M90" s="6">
        <v>2.2339955849889601E-2</v>
      </c>
      <c r="N90" s="6">
        <v>749.47278161787995</v>
      </c>
      <c r="O90" s="6">
        <v>0.357373793180224</v>
      </c>
      <c r="P90" s="6">
        <v>4.1798000866434801</v>
      </c>
      <c r="Q90" s="1">
        <v>4155.5555555555502</v>
      </c>
      <c r="R90" s="1">
        <v>18.210555555555501</v>
      </c>
      <c r="S90" s="7">
        <v>0.13857900000000001</v>
      </c>
      <c r="T90" s="7">
        <v>0.15245</v>
      </c>
      <c r="U90" s="7">
        <v>0.169428</v>
      </c>
      <c r="V90" s="7">
        <v>0.18587100000000001</v>
      </c>
      <c r="W90" s="7">
        <v>0.19754099999999999</v>
      </c>
      <c r="X90" s="7">
        <v>0.209873</v>
      </c>
      <c r="Y90" s="7">
        <v>0.22171199999999999</v>
      </c>
      <c r="Z90" s="7">
        <v>0.23388900000000001</v>
      </c>
      <c r="AA90" s="7">
        <v>0.24424000000000001</v>
      </c>
      <c r="AB90" s="7">
        <v>0.254158</v>
      </c>
    </row>
    <row r="91" spans="1:28" x14ac:dyDescent="0.3">
      <c r="A91" s="1">
        <v>90</v>
      </c>
      <c r="B91" s="2" t="s">
        <v>132</v>
      </c>
      <c r="C91" s="1" t="s">
        <v>133</v>
      </c>
      <c r="D91" s="2">
        <v>0</v>
      </c>
      <c r="E91" s="2" t="str">
        <f t="shared" si="1"/>
        <v>sensitive</v>
      </c>
      <c r="F91" s="1" t="s">
        <v>130</v>
      </c>
      <c r="G91" s="5">
        <v>112</v>
      </c>
      <c r="H91" s="5">
        <v>177</v>
      </c>
      <c r="I91" s="6">
        <v>3.1607142857142798</v>
      </c>
      <c r="J91" s="6">
        <v>1.95215390501822E-2</v>
      </c>
      <c r="K91" s="6">
        <v>0.155294117647058</v>
      </c>
      <c r="L91" s="6">
        <v>0.28255404135338302</v>
      </c>
      <c r="M91" s="6">
        <v>2.8474903474903401E-2</v>
      </c>
      <c r="N91" s="6">
        <v>618.82745738653</v>
      </c>
      <c r="O91" s="6">
        <v>0.36563433997558498</v>
      </c>
      <c r="P91" s="6">
        <v>4.4681274897857897</v>
      </c>
      <c r="Q91" s="1">
        <v>3400.8474576271101</v>
      </c>
      <c r="R91" s="1">
        <v>17.672768361581898</v>
      </c>
      <c r="S91" s="7">
        <v>0.147618</v>
      </c>
      <c r="T91" s="7">
        <v>0.172046</v>
      </c>
      <c r="U91" s="7">
        <v>0.20665600000000001</v>
      </c>
      <c r="V91" s="7">
        <v>0.235792</v>
      </c>
      <c r="W91" s="7">
        <v>0.25977899999999998</v>
      </c>
      <c r="X91" s="7">
        <v>0.27692800000000001</v>
      </c>
      <c r="Y91" s="7">
        <v>0.28860000000000002</v>
      </c>
      <c r="Z91" s="7">
        <v>0.29646699999999998</v>
      </c>
      <c r="AA91" s="7">
        <v>0.30161100000000002</v>
      </c>
      <c r="AB91" s="7">
        <v>0.30509700000000001</v>
      </c>
    </row>
    <row r="92" spans="1:28" x14ac:dyDescent="0.3">
      <c r="A92" s="1">
        <v>91</v>
      </c>
      <c r="B92" s="1" t="s">
        <v>147</v>
      </c>
      <c r="C92" s="1" t="s">
        <v>148</v>
      </c>
      <c r="D92" s="2">
        <v>0</v>
      </c>
      <c r="E92" s="2" t="str">
        <f t="shared" si="1"/>
        <v>sensitive</v>
      </c>
      <c r="F92" s="1" t="s">
        <v>105</v>
      </c>
      <c r="G92" s="5">
        <v>963</v>
      </c>
      <c r="H92" s="5">
        <v>1716</v>
      </c>
      <c r="I92" s="6">
        <v>3.5638629283488998</v>
      </c>
      <c r="J92" s="5">
        <v>4.8000458185248904E-3</v>
      </c>
      <c r="K92" s="5">
        <v>4.94762647648763E-2</v>
      </c>
      <c r="L92" s="5">
        <v>5.1856575528023002E-2</v>
      </c>
      <c r="M92" s="5">
        <v>3.7046392186579099E-3</v>
      </c>
      <c r="N92" s="6">
        <v>444.556203666871</v>
      </c>
      <c r="O92" s="6">
        <v>0.3689365083294</v>
      </c>
      <c r="P92" s="6">
        <v>4.0575544884334303</v>
      </c>
      <c r="Q92" s="1">
        <v>3984.5258871436799</v>
      </c>
      <c r="R92" s="1">
        <v>18.4482722513089</v>
      </c>
      <c r="S92" s="7">
        <v>0.129082</v>
      </c>
      <c r="T92" s="7">
        <v>0.13203200000000001</v>
      </c>
      <c r="U92" s="7">
        <v>0.13667099999999999</v>
      </c>
      <c r="V92" s="7">
        <v>0.14108000000000001</v>
      </c>
      <c r="W92" s="7">
        <v>0.146177</v>
      </c>
      <c r="X92" s="7">
        <v>0.151694</v>
      </c>
      <c r="Y92" s="7">
        <v>0.156582</v>
      </c>
      <c r="Z92" s="7">
        <v>0.16150999999999999</v>
      </c>
      <c r="AA92" s="7">
        <v>0.166467</v>
      </c>
      <c r="AB92" s="7">
        <v>0.17191600000000001</v>
      </c>
    </row>
    <row r="93" spans="1:28" x14ac:dyDescent="0.3">
      <c r="A93" s="1">
        <v>92</v>
      </c>
      <c r="B93" s="1" t="s">
        <v>149</v>
      </c>
      <c r="C93" s="1" t="s">
        <v>148</v>
      </c>
      <c r="D93" s="2">
        <v>0</v>
      </c>
      <c r="E93" s="2" t="str">
        <f t="shared" si="1"/>
        <v>sensitive</v>
      </c>
      <c r="F93" s="1" t="s">
        <v>105</v>
      </c>
      <c r="G93" s="5">
        <v>857</v>
      </c>
      <c r="H93" s="5">
        <v>1441</v>
      </c>
      <c r="I93" s="6">
        <v>3.36289381563593</v>
      </c>
      <c r="J93" s="5">
        <v>6.7514864094882897E-3</v>
      </c>
      <c r="K93" s="5">
        <v>8.7684449489216804E-2</v>
      </c>
      <c r="L93" s="6">
        <v>0.113477336848839</v>
      </c>
      <c r="M93" s="5">
        <v>3.9286142706027299E-3</v>
      </c>
      <c r="N93" s="6">
        <v>497.55269198940698</v>
      </c>
      <c r="O93" s="6">
        <v>0.38713037531278899</v>
      </c>
      <c r="P93" s="6">
        <v>3.9412749247930301</v>
      </c>
      <c r="Q93" s="1">
        <v>3441.4305459571501</v>
      </c>
      <c r="R93" s="1">
        <v>17.421202487906001</v>
      </c>
      <c r="S93" s="7">
        <v>0.13750899999999999</v>
      </c>
      <c r="T93" s="7">
        <v>0.141814</v>
      </c>
      <c r="U93" s="7">
        <v>0.147483</v>
      </c>
      <c r="V93" s="7">
        <v>0.15526799999999999</v>
      </c>
      <c r="W93" s="7">
        <v>0.16343099999999999</v>
      </c>
      <c r="X93" s="7">
        <v>0.17210800000000001</v>
      </c>
      <c r="Y93" s="7">
        <v>0.180836</v>
      </c>
      <c r="Z93" s="7">
        <v>0.190332</v>
      </c>
      <c r="AA93" s="7">
        <v>0.199494</v>
      </c>
      <c r="AB93" s="7">
        <v>0.207649</v>
      </c>
    </row>
    <row r="94" spans="1:28" x14ac:dyDescent="0.3">
      <c r="A94" s="1">
        <v>93</v>
      </c>
      <c r="B94" s="1" t="s">
        <v>150</v>
      </c>
      <c r="C94" s="1" t="s">
        <v>148</v>
      </c>
      <c r="D94" s="2">
        <v>0</v>
      </c>
      <c r="E94" s="2" t="str">
        <f t="shared" si="1"/>
        <v>sensitive</v>
      </c>
      <c r="F94" s="1" t="s">
        <v>105</v>
      </c>
      <c r="G94" s="5">
        <v>969</v>
      </c>
      <c r="H94" s="5">
        <v>1727</v>
      </c>
      <c r="I94" s="6">
        <v>3.56449948400412</v>
      </c>
      <c r="J94" s="5">
        <v>1.54215750947478E-3</v>
      </c>
      <c r="K94" s="6">
        <v>2.5817555938037799E-2</v>
      </c>
      <c r="L94" s="6">
        <v>0.26580088383490502</v>
      </c>
      <c r="M94" s="5">
        <v>3.68233417769021E-3</v>
      </c>
      <c r="N94" s="6">
        <v>369.04341486803401</v>
      </c>
      <c r="O94" s="6">
        <v>0.37336839511890302</v>
      </c>
      <c r="P94" s="6">
        <v>4.1945328858570097</v>
      </c>
      <c r="Q94" s="1">
        <v>3177.7136258660498</v>
      </c>
      <c r="R94" s="1">
        <v>16.989249422632799</v>
      </c>
      <c r="S94" s="7">
        <v>0.13595599999999999</v>
      </c>
      <c r="T94" s="7">
        <v>0.144122</v>
      </c>
      <c r="U94" s="7">
        <v>0.15561700000000001</v>
      </c>
      <c r="V94" s="7">
        <v>0.16622300000000001</v>
      </c>
      <c r="W94" s="7">
        <v>0.17683399999999999</v>
      </c>
      <c r="X94" s="7">
        <v>0.18762000000000001</v>
      </c>
      <c r="Y94" s="7">
        <v>0.19625899999999999</v>
      </c>
      <c r="Z94" s="7">
        <v>0.20458000000000001</v>
      </c>
      <c r="AA94" s="7">
        <v>0.21327399999999999</v>
      </c>
      <c r="AB94" s="7">
        <v>0.22084699999999999</v>
      </c>
    </row>
    <row r="95" spans="1:28" x14ac:dyDescent="0.3">
      <c r="A95" s="1">
        <v>94</v>
      </c>
      <c r="B95" s="1" t="s">
        <v>151</v>
      </c>
      <c r="C95" s="1" t="s">
        <v>148</v>
      </c>
      <c r="D95" s="2">
        <v>0</v>
      </c>
      <c r="E95" s="2" t="str">
        <f t="shared" si="1"/>
        <v>sensitive</v>
      </c>
      <c r="F95" s="1" t="s">
        <v>105</v>
      </c>
      <c r="G95" s="5">
        <v>662</v>
      </c>
      <c r="H95" s="5">
        <v>1073</v>
      </c>
      <c r="I95" s="6">
        <v>3.2416918429003001</v>
      </c>
      <c r="J95" s="5">
        <v>6.1509087614620601E-3</v>
      </c>
      <c r="K95" s="6">
        <v>4.88750969743987E-2</v>
      </c>
      <c r="L95" s="6">
        <v>0.18582593519993901</v>
      </c>
      <c r="M95" s="5">
        <v>4.9042236655072596E-3</v>
      </c>
      <c r="N95" s="6">
        <v>400.78793820299899</v>
      </c>
      <c r="O95" s="6">
        <v>0.36912494050880001</v>
      </c>
      <c r="P95" s="6">
        <v>4.2096587444147797</v>
      </c>
      <c r="Q95" s="1">
        <v>3864.3454038997202</v>
      </c>
      <c r="R95" s="1">
        <v>18.066165273909</v>
      </c>
      <c r="S95" s="7">
        <v>0.13198699999999999</v>
      </c>
      <c r="T95" s="7">
        <v>0.140485</v>
      </c>
      <c r="U95" s="7">
        <v>0.149205</v>
      </c>
      <c r="V95" s="7">
        <v>0.15707199999999999</v>
      </c>
      <c r="W95" s="7">
        <v>0.165655</v>
      </c>
      <c r="X95" s="7">
        <v>0.17524100000000001</v>
      </c>
      <c r="Y95" s="7">
        <v>0.184776</v>
      </c>
      <c r="Z95" s="7">
        <v>0.194463</v>
      </c>
      <c r="AA95" s="7">
        <v>0.20369300000000001</v>
      </c>
      <c r="AB95" s="7">
        <v>0.212506</v>
      </c>
    </row>
    <row r="96" spans="1:28" x14ac:dyDescent="0.3">
      <c r="A96" s="1">
        <v>95</v>
      </c>
      <c r="B96" s="1" t="s">
        <v>152</v>
      </c>
      <c r="C96" s="1" t="s">
        <v>148</v>
      </c>
      <c r="D96" s="2">
        <v>0</v>
      </c>
      <c r="E96" s="2" t="str">
        <f t="shared" si="1"/>
        <v>sensitive</v>
      </c>
      <c r="F96" s="1" t="s">
        <v>105</v>
      </c>
      <c r="G96" s="5">
        <v>950</v>
      </c>
      <c r="H96" s="5">
        <v>1736</v>
      </c>
      <c r="I96" s="6">
        <v>3.65473684210526</v>
      </c>
      <c r="J96" s="5">
        <v>5.0543835805972699E-3</v>
      </c>
      <c r="K96" s="6">
        <v>2.47252747252747E-2</v>
      </c>
      <c r="L96" s="6">
        <v>0.20776933602273201</v>
      </c>
      <c r="M96" s="5">
        <v>3.8511452498474802E-3</v>
      </c>
      <c r="N96" s="6">
        <v>378.653602607148</v>
      </c>
      <c r="O96" s="6">
        <v>0.35003279489970401</v>
      </c>
      <c r="P96" s="6">
        <v>4.3408045871109797</v>
      </c>
      <c r="Q96" s="1">
        <v>2345.3917050691198</v>
      </c>
      <c r="R96" s="1">
        <v>14.8343894009216</v>
      </c>
      <c r="S96" s="7">
        <v>0.150173</v>
      </c>
      <c r="T96" s="7">
        <v>0.15843099999999999</v>
      </c>
      <c r="U96" s="7">
        <v>0.16711100000000001</v>
      </c>
      <c r="V96" s="7">
        <v>0.17627999999999999</v>
      </c>
      <c r="W96" s="7">
        <v>0.18649299999999999</v>
      </c>
      <c r="X96" s="7">
        <v>0.19658100000000001</v>
      </c>
      <c r="Y96" s="7">
        <v>0.20629500000000001</v>
      </c>
      <c r="Z96" s="7">
        <v>0.21615599999999999</v>
      </c>
      <c r="AA96" s="7">
        <v>0.22622500000000001</v>
      </c>
      <c r="AB96" s="7">
        <v>0.23632800000000001</v>
      </c>
    </row>
    <row r="97" spans="1:28" x14ac:dyDescent="0.3">
      <c r="A97" s="1">
        <v>96</v>
      </c>
      <c r="B97" s="1" t="s">
        <v>153</v>
      </c>
      <c r="C97" s="1" t="s">
        <v>148</v>
      </c>
      <c r="D97" s="2">
        <v>0</v>
      </c>
      <c r="E97" s="2" t="str">
        <f t="shared" si="1"/>
        <v>sensitive</v>
      </c>
      <c r="F97" s="1" t="s">
        <v>105</v>
      </c>
      <c r="G97" s="5">
        <v>528</v>
      </c>
      <c r="H97" s="5">
        <v>857</v>
      </c>
      <c r="I97" s="6">
        <v>3.2462121212121202</v>
      </c>
      <c r="J97" s="5">
        <v>4.6505802314572402E-3</v>
      </c>
      <c r="K97" s="6">
        <v>4.3689320388349502E-2</v>
      </c>
      <c r="L97" s="6">
        <v>0.12053333115586</v>
      </c>
      <c r="M97" s="5">
        <v>6.1597952964176804E-3</v>
      </c>
      <c r="N97" s="6">
        <v>470.766879276628</v>
      </c>
      <c r="O97" s="6">
        <v>0.380217658635985</v>
      </c>
      <c r="P97" s="6">
        <v>3.9950348080648701</v>
      </c>
      <c r="Q97" s="1">
        <v>3981.8501170960099</v>
      </c>
      <c r="R97" s="1">
        <v>18.196885245901601</v>
      </c>
      <c r="S97" s="7">
        <v>0.13437299999999999</v>
      </c>
      <c r="T97" s="7">
        <v>0.13957600000000001</v>
      </c>
      <c r="U97" s="7">
        <v>0.14790500000000001</v>
      </c>
      <c r="V97" s="7">
        <v>0.15845300000000001</v>
      </c>
      <c r="W97" s="7">
        <v>0.16905400000000001</v>
      </c>
      <c r="X97" s="7">
        <v>0.17973500000000001</v>
      </c>
      <c r="Y97" s="7">
        <v>0.189748</v>
      </c>
      <c r="Z97" s="7">
        <v>0.199431</v>
      </c>
      <c r="AA97" s="7">
        <v>0.20727300000000001</v>
      </c>
      <c r="AB97" s="7">
        <v>0.21593399999999999</v>
      </c>
    </row>
    <row r="98" spans="1:28" x14ac:dyDescent="0.3">
      <c r="A98" s="1">
        <v>97</v>
      </c>
      <c r="B98" s="1" t="s">
        <v>154</v>
      </c>
      <c r="C98" s="1" t="s">
        <v>148</v>
      </c>
      <c r="D98" s="2">
        <v>1</v>
      </c>
      <c r="E98" s="2" t="str">
        <f t="shared" si="1"/>
        <v>resilient</v>
      </c>
      <c r="F98" s="1" t="s">
        <v>105</v>
      </c>
      <c r="G98" s="5">
        <v>857</v>
      </c>
      <c r="H98" s="5">
        <v>1439</v>
      </c>
      <c r="I98" s="6">
        <v>3.3582263710618401</v>
      </c>
      <c r="J98" s="5">
        <v>3.69194465859044E-3</v>
      </c>
      <c r="K98" s="5">
        <v>4.78589420654911E-2</v>
      </c>
      <c r="L98" s="6">
        <v>0.18414759364281899</v>
      </c>
      <c r="M98" s="5">
        <v>3.9231616484367302E-3</v>
      </c>
      <c r="N98" s="6">
        <v>451.680029820264</v>
      </c>
      <c r="O98" s="6">
        <v>0.36781220558496402</v>
      </c>
      <c r="P98" s="6">
        <v>4.0733435480259503</v>
      </c>
      <c r="Q98" s="1">
        <v>4986.2116991643397</v>
      </c>
      <c r="R98" s="1">
        <v>21.1217757660167</v>
      </c>
      <c r="S98" s="7">
        <v>0.129499</v>
      </c>
      <c r="T98" s="7">
        <v>0.13286999999999999</v>
      </c>
      <c r="U98" s="7">
        <v>0.14000499999999999</v>
      </c>
      <c r="V98" s="7">
        <v>0.14693800000000001</v>
      </c>
      <c r="W98" s="7">
        <v>0.15448100000000001</v>
      </c>
      <c r="X98" s="7">
        <v>0.16111700000000001</v>
      </c>
      <c r="Y98" s="7">
        <v>0.16711200000000001</v>
      </c>
      <c r="Z98" s="7">
        <v>0.17258200000000001</v>
      </c>
      <c r="AA98" s="7">
        <v>0.17776700000000001</v>
      </c>
      <c r="AB98" s="7">
        <v>0.182424</v>
      </c>
    </row>
    <row r="99" spans="1:28" x14ac:dyDescent="0.3">
      <c r="A99" s="1">
        <v>98</v>
      </c>
      <c r="B99" s="1" t="s">
        <v>155</v>
      </c>
      <c r="C99" s="1" t="s">
        <v>148</v>
      </c>
      <c r="D99" s="2">
        <v>0</v>
      </c>
      <c r="E99" s="2" t="str">
        <f t="shared" si="1"/>
        <v>sensitive</v>
      </c>
      <c r="F99" s="1" t="s">
        <v>105</v>
      </c>
      <c r="G99" s="5">
        <v>514</v>
      </c>
      <c r="H99" s="5">
        <v>829</v>
      </c>
      <c r="I99" s="5">
        <v>3.2256809338521402</v>
      </c>
      <c r="J99" s="5">
        <v>1.35288132519679E-2</v>
      </c>
      <c r="K99" s="5">
        <v>5.8764439979909502E-2</v>
      </c>
      <c r="L99" s="6">
        <v>0.131191149169607</v>
      </c>
      <c r="M99" s="5">
        <v>6.2878770640392503E-3</v>
      </c>
      <c r="N99" s="6">
        <v>383.91275079949799</v>
      </c>
      <c r="O99" s="6">
        <v>0.35521608453480302</v>
      </c>
      <c r="P99" s="6">
        <v>4.4466464021287102</v>
      </c>
      <c r="Q99" s="1">
        <v>4050.7237635705601</v>
      </c>
      <c r="R99" s="1">
        <v>17.947840772014398</v>
      </c>
      <c r="S99" s="7">
        <v>0.13490199999999999</v>
      </c>
      <c r="T99" s="7">
        <v>0.14147699999999999</v>
      </c>
      <c r="U99" s="7">
        <v>0.150394</v>
      </c>
      <c r="V99" s="7">
        <v>0.161553</v>
      </c>
      <c r="W99" s="7">
        <v>0.176288</v>
      </c>
      <c r="X99" s="7">
        <v>0.19073100000000001</v>
      </c>
      <c r="Y99" s="7">
        <v>0.204929</v>
      </c>
      <c r="Z99" s="7">
        <v>0.21717400000000001</v>
      </c>
      <c r="AA99" s="7">
        <v>0.22800599999999999</v>
      </c>
      <c r="AB99" s="7">
        <v>0.23763100000000001</v>
      </c>
    </row>
    <row r="100" spans="1:28" x14ac:dyDescent="0.3">
      <c r="A100" s="1">
        <v>99</v>
      </c>
      <c r="B100" s="1" t="s">
        <v>156</v>
      </c>
      <c r="C100" s="1" t="s">
        <v>148</v>
      </c>
      <c r="D100" s="2">
        <v>0</v>
      </c>
      <c r="E100" s="2" t="str">
        <f t="shared" si="1"/>
        <v>sensitive</v>
      </c>
      <c r="F100" s="1" t="s">
        <v>105</v>
      </c>
      <c r="G100" s="5">
        <v>474</v>
      </c>
      <c r="H100" s="5">
        <v>773</v>
      </c>
      <c r="I100" s="6">
        <v>3.2616033755274199</v>
      </c>
      <c r="J100" s="5">
        <v>2.6599319085181699E-3</v>
      </c>
      <c r="K100" s="5">
        <v>3.04E-2</v>
      </c>
      <c r="L100" s="6">
        <v>0.35646348086452001</v>
      </c>
      <c r="M100" s="5">
        <v>6.8955673901213996E-3</v>
      </c>
      <c r="N100" s="6">
        <v>496.179425246677</v>
      </c>
      <c r="O100" s="6">
        <v>0.31843006674244601</v>
      </c>
      <c r="P100" s="6">
        <v>5.3184615859997599</v>
      </c>
      <c r="Q100" s="1">
        <v>4008.7096774193501</v>
      </c>
      <c r="R100" s="1">
        <v>17.871716129032201</v>
      </c>
      <c r="S100" s="7">
        <v>0.13194500000000001</v>
      </c>
      <c r="T100" s="7">
        <v>0.14104700000000001</v>
      </c>
      <c r="U100" s="7">
        <v>0.15593799999999999</v>
      </c>
      <c r="V100" s="7">
        <v>0.17224800000000001</v>
      </c>
      <c r="W100" s="7">
        <v>0.18631800000000001</v>
      </c>
      <c r="X100" s="7">
        <v>0.19956299999999999</v>
      </c>
      <c r="Y100" s="7">
        <v>0.21176500000000001</v>
      </c>
      <c r="Z100" s="7">
        <v>0.22281500000000001</v>
      </c>
      <c r="AA100" s="7">
        <v>0.23235500000000001</v>
      </c>
      <c r="AB100" s="7">
        <v>0.240561</v>
      </c>
    </row>
    <row r="101" spans="1:28" x14ac:dyDescent="0.3">
      <c r="A101" s="1">
        <v>100</v>
      </c>
      <c r="B101" s="1" t="s">
        <v>157</v>
      </c>
      <c r="C101" s="1" t="s">
        <v>148</v>
      </c>
      <c r="D101" s="2">
        <v>0</v>
      </c>
      <c r="E101" s="2" t="str">
        <f t="shared" si="1"/>
        <v>sensitive</v>
      </c>
      <c r="F101" s="1" t="s">
        <v>105</v>
      </c>
      <c r="G101" s="5">
        <v>855</v>
      </c>
      <c r="H101" s="5">
        <v>1359</v>
      </c>
      <c r="I101" s="6">
        <v>3.1789473684210501</v>
      </c>
      <c r="J101" s="5">
        <v>5.1742120327868497E-3</v>
      </c>
      <c r="K101" s="5">
        <v>5.61726436052047E-2</v>
      </c>
      <c r="L101" s="5">
        <v>8.5134805135637995E-2</v>
      </c>
      <c r="M101" s="5">
        <v>3.72242080611364E-3</v>
      </c>
      <c r="N101" s="6">
        <v>493.705456800685</v>
      </c>
      <c r="O101" s="6">
        <v>0.37624657302183001</v>
      </c>
      <c r="P101" s="6">
        <v>3.9126909325717398</v>
      </c>
      <c r="Q101" s="1">
        <v>3669.68590211833</v>
      </c>
      <c r="R101" s="1">
        <v>17.796661796932</v>
      </c>
      <c r="S101" s="7">
        <v>0.13827</v>
      </c>
      <c r="T101" s="7">
        <v>0.14518400000000001</v>
      </c>
      <c r="U101" s="7">
        <v>0.15140500000000001</v>
      </c>
      <c r="V101" s="7">
        <v>0.15998200000000001</v>
      </c>
      <c r="W101" s="7">
        <v>0.169965</v>
      </c>
      <c r="X101" s="7">
        <v>0.17949999999999999</v>
      </c>
      <c r="Y101" s="7">
        <v>0.18826699999999999</v>
      </c>
      <c r="Z101" s="7">
        <v>0.19614799999999999</v>
      </c>
      <c r="AA101" s="7">
        <v>0.20297200000000001</v>
      </c>
      <c r="AB101" s="7">
        <v>0.20930099999999999</v>
      </c>
    </row>
    <row r="102" spans="1:28" x14ac:dyDescent="0.3">
      <c r="A102" s="1">
        <v>101</v>
      </c>
      <c r="B102" s="1" t="s">
        <v>158</v>
      </c>
      <c r="C102" s="1" t="s">
        <v>148</v>
      </c>
      <c r="D102" s="2">
        <v>0</v>
      </c>
      <c r="E102" s="2" t="str">
        <f t="shared" si="1"/>
        <v>sensitive</v>
      </c>
      <c r="F102" s="1" t="s">
        <v>105</v>
      </c>
      <c r="G102" s="5">
        <v>766</v>
      </c>
      <c r="H102" s="5">
        <v>1220</v>
      </c>
      <c r="I102" s="6">
        <v>3.18537859007832</v>
      </c>
      <c r="J102" s="5">
        <v>7.8608543378260107E-3</v>
      </c>
      <c r="K102" s="5">
        <v>4.5294943820224698E-2</v>
      </c>
      <c r="L102" s="5">
        <v>9.4476711154686505E-2</v>
      </c>
      <c r="M102" s="5">
        <v>4.1638935818017302E-3</v>
      </c>
      <c r="N102" s="6">
        <v>401.79786195031397</v>
      </c>
      <c r="O102" s="6">
        <v>0.36484225605640802</v>
      </c>
      <c r="P102" s="5">
        <v>4.2350483710970099</v>
      </c>
      <c r="Q102" s="1">
        <v>3198.2786885245901</v>
      </c>
      <c r="R102" s="1">
        <v>17.3202540983606</v>
      </c>
      <c r="S102" s="7">
        <v>0.14077899999999999</v>
      </c>
      <c r="T102" s="7">
        <v>0.14830399999999999</v>
      </c>
      <c r="U102" s="7">
        <v>0.15953500000000001</v>
      </c>
      <c r="V102" s="7">
        <v>0.17088900000000001</v>
      </c>
      <c r="W102" s="7">
        <v>0.18144199999999999</v>
      </c>
      <c r="X102" s="7">
        <v>0.19347800000000001</v>
      </c>
      <c r="Y102" s="7">
        <v>0.20555899999999999</v>
      </c>
      <c r="Z102" s="7">
        <v>0.217974</v>
      </c>
      <c r="AA102" s="7">
        <v>0.22994600000000001</v>
      </c>
      <c r="AB102" s="7">
        <v>0.24101600000000001</v>
      </c>
    </row>
    <row r="103" spans="1:28" x14ac:dyDescent="0.3">
      <c r="A103" s="1">
        <v>102</v>
      </c>
      <c r="B103" s="1" t="s">
        <v>159</v>
      </c>
      <c r="C103" s="1" t="s">
        <v>148</v>
      </c>
      <c r="D103" s="2">
        <v>0</v>
      </c>
      <c r="E103" s="2" t="str">
        <f t="shared" si="1"/>
        <v>sensitive</v>
      </c>
      <c r="F103" s="1" t="s">
        <v>105</v>
      </c>
      <c r="G103" s="5">
        <v>703</v>
      </c>
      <c r="H103" s="5">
        <v>1225</v>
      </c>
      <c r="I103" s="6">
        <v>3.4850640113798002</v>
      </c>
      <c r="J103" s="5">
        <v>2.2106385563455898E-3</v>
      </c>
      <c r="K103" s="6">
        <v>1.02580043518806E-2</v>
      </c>
      <c r="L103" s="6">
        <v>0.33545396261774402</v>
      </c>
      <c r="M103" s="5">
        <v>4.9644786486891697E-3</v>
      </c>
      <c r="N103" s="6">
        <v>514.84171381383806</v>
      </c>
      <c r="O103" s="6">
        <v>0.29704540712551403</v>
      </c>
      <c r="P103" s="6">
        <v>5.0868282680701302</v>
      </c>
      <c r="Q103" s="1">
        <v>3386.3822805578302</v>
      </c>
      <c r="R103" s="1">
        <v>17.694126333059799</v>
      </c>
      <c r="S103" s="7">
        <v>0.13514599999999999</v>
      </c>
      <c r="T103" s="7">
        <v>0.14003599999999999</v>
      </c>
      <c r="U103" s="7">
        <v>0.14702299999999999</v>
      </c>
      <c r="V103" s="7">
        <v>0.15539800000000001</v>
      </c>
      <c r="W103" s="7">
        <v>0.16347100000000001</v>
      </c>
      <c r="X103" s="7">
        <v>0.17219899999999999</v>
      </c>
      <c r="Y103" s="7">
        <v>0.18063699999999999</v>
      </c>
      <c r="Z103" s="7">
        <v>0.18871099999999999</v>
      </c>
      <c r="AA103" s="7">
        <v>0.194741</v>
      </c>
      <c r="AB103" s="7">
        <v>0.20105400000000001</v>
      </c>
    </row>
    <row r="104" spans="1:28" x14ac:dyDescent="0.3">
      <c r="A104" s="1">
        <v>103</v>
      </c>
      <c r="B104" s="1" t="s">
        <v>160</v>
      </c>
      <c r="C104" s="1" t="s">
        <v>148</v>
      </c>
      <c r="D104" s="2">
        <v>0</v>
      </c>
      <c r="E104" s="2" t="str">
        <f t="shared" si="1"/>
        <v>sensitive</v>
      </c>
      <c r="F104" s="1" t="s">
        <v>105</v>
      </c>
      <c r="G104" s="5">
        <v>581</v>
      </c>
      <c r="H104" s="5">
        <v>939</v>
      </c>
      <c r="I104" s="6">
        <v>3.2323580034423398</v>
      </c>
      <c r="J104" s="5">
        <v>1.7607473160204301E-3</v>
      </c>
      <c r="K104" s="5">
        <v>4.2799821667409699E-2</v>
      </c>
      <c r="L104" s="6">
        <v>0.13970722859611701</v>
      </c>
      <c r="M104" s="5">
        <v>5.5730310404178201E-3</v>
      </c>
      <c r="N104" s="6">
        <v>466.63580714620798</v>
      </c>
      <c r="O104" s="6">
        <v>0.309436841194621</v>
      </c>
      <c r="P104" s="6">
        <v>5.3162472194572503</v>
      </c>
      <c r="Q104" s="1">
        <v>3080.9168443496801</v>
      </c>
      <c r="R104" s="1">
        <v>16.7577398720682</v>
      </c>
      <c r="S104" s="7">
        <v>0.14810000000000001</v>
      </c>
      <c r="T104" s="7">
        <v>0.16073000000000001</v>
      </c>
      <c r="U104" s="7">
        <v>0.175507</v>
      </c>
      <c r="V104" s="7">
        <v>0.19570699999999999</v>
      </c>
      <c r="W104" s="7">
        <v>0.21285999999999999</v>
      </c>
      <c r="X104" s="7">
        <v>0.22717000000000001</v>
      </c>
      <c r="Y104" s="7">
        <v>0.24002399999999999</v>
      </c>
      <c r="Z104" s="7">
        <v>0.25191799999999998</v>
      </c>
      <c r="AA104" s="7">
        <v>0.26198199999999999</v>
      </c>
      <c r="AB104" s="7">
        <v>0.27015800000000001</v>
      </c>
    </row>
    <row r="105" spans="1:28" x14ac:dyDescent="0.3">
      <c r="A105" s="1">
        <v>104</v>
      </c>
      <c r="B105" s="1" t="s">
        <v>161</v>
      </c>
      <c r="C105" s="1" t="s">
        <v>148</v>
      </c>
      <c r="D105" s="2">
        <v>0</v>
      </c>
      <c r="E105" s="2" t="str">
        <f t="shared" si="1"/>
        <v>sensitive</v>
      </c>
      <c r="F105" s="1" t="s">
        <v>105</v>
      </c>
      <c r="G105" s="5">
        <v>945</v>
      </c>
      <c r="H105" s="5">
        <v>1498</v>
      </c>
      <c r="I105" s="6">
        <v>3.1703703703703701</v>
      </c>
      <c r="J105" s="5">
        <v>4.6506873274006801E-3</v>
      </c>
      <c r="K105" s="5">
        <v>5.0303555941023398E-2</v>
      </c>
      <c r="L105" s="5">
        <v>8.7616622056369206E-2</v>
      </c>
      <c r="M105" s="5">
        <v>3.3584431889516599E-3</v>
      </c>
      <c r="N105" s="6">
        <v>443.765594635578</v>
      </c>
      <c r="O105" s="6">
        <v>0.37579632943282598</v>
      </c>
      <c r="P105" s="6">
        <v>3.9817058989644201</v>
      </c>
      <c r="Q105" s="1">
        <v>3951.5312916111802</v>
      </c>
      <c r="R105" s="1">
        <v>18.028988015978602</v>
      </c>
      <c r="S105" s="7">
        <v>0.134712</v>
      </c>
      <c r="T105" s="7">
        <v>0.14155000000000001</v>
      </c>
      <c r="U105" s="7">
        <v>0.14866199999999999</v>
      </c>
      <c r="V105" s="7">
        <v>0.156477</v>
      </c>
      <c r="W105" s="7">
        <v>0.164516</v>
      </c>
      <c r="X105" s="7">
        <v>0.172261</v>
      </c>
      <c r="Y105" s="7">
        <v>0.180172</v>
      </c>
      <c r="Z105" s="7">
        <v>0.18816099999999999</v>
      </c>
      <c r="AA105" s="7">
        <v>0.19581200000000001</v>
      </c>
      <c r="AB105" s="7">
        <v>0.20363100000000001</v>
      </c>
    </row>
    <row r="106" spans="1:28" x14ac:dyDescent="0.3">
      <c r="A106" s="1">
        <v>105</v>
      </c>
      <c r="B106" s="1" t="s">
        <v>162</v>
      </c>
      <c r="C106" s="1" t="s">
        <v>148</v>
      </c>
      <c r="D106" s="2">
        <v>0</v>
      </c>
      <c r="E106" s="2" t="str">
        <f t="shared" si="1"/>
        <v>sensitive</v>
      </c>
      <c r="F106" s="1" t="s">
        <v>105</v>
      </c>
      <c r="G106" s="5">
        <v>848</v>
      </c>
      <c r="H106" s="5">
        <v>1420</v>
      </c>
      <c r="I106" s="6">
        <v>3.3490566037735801</v>
      </c>
      <c r="J106" s="5">
        <v>6.3362967287895399E-3</v>
      </c>
      <c r="K106" s="5">
        <v>5.9843885516045102E-2</v>
      </c>
      <c r="L106" s="5">
        <v>-1.67750063504154E-2</v>
      </c>
      <c r="M106" s="5">
        <v>3.9540219643135598E-3</v>
      </c>
      <c r="N106" s="6">
        <v>491.92094347691898</v>
      </c>
      <c r="O106" s="6">
        <v>0.357070396343795</v>
      </c>
      <c r="P106" s="6">
        <v>4.2417232689650399</v>
      </c>
      <c r="Q106" s="1">
        <v>3271.67019027484</v>
      </c>
      <c r="R106" s="1">
        <v>17.173664552501702</v>
      </c>
      <c r="S106" s="7">
        <v>0.13639399999999999</v>
      </c>
      <c r="T106" s="7">
        <v>0.144654</v>
      </c>
      <c r="U106" s="7">
        <v>0.155084</v>
      </c>
      <c r="V106" s="7">
        <v>0.16800799999999999</v>
      </c>
      <c r="W106" s="7">
        <v>0.17899999999999999</v>
      </c>
      <c r="X106" s="7">
        <v>0.188777</v>
      </c>
      <c r="Y106" s="7">
        <v>0.198048</v>
      </c>
      <c r="Z106" s="7">
        <v>0.207481</v>
      </c>
      <c r="AA106" s="7">
        <v>0.21601500000000001</v>
      </c>
      <c r="AB106" s="7">
        <v>0.22428400000000001</v>
      </c>
    </row>
    <row r="107" spans="1:28" x14ac:dyDescent="0.3">
      <c r="A107" s="1">
        <v>106</v>
      </c>
      <c r="B107" s="1" t="s">
        <v>163</v>
      </c>
      <c r="C107" s="1" t="s">
        <v>148</v>
      </c>
      <c r="D107" s="2">
        <v>0</v>
      </c>
      <c r="E107" s="2" t="str">
        <f t="shared" si="1"/>
        <v>sensitive</v>
      </c>
      <c r="F107" s="1" t="s">
        <v>105</v>
      </c>
      <c r="G107" s="5">
        <v>987</v>
      </c>
      <c r="H107" s="5">
        <v>1630</v>
      </c>
      <c r="I107" s="6">
        <v>3.30293819655521</v>
      </c>
      <c r="J107" s="5">
        <v>3.5596373989258199E-3</v>
      </c>
      <c r="K107" s="5">
        <v>4.52488687782805E-2</v>
      </c>
      <c r="L107" s="6">
        <v>0.113983841074526</v>
      </c>
      <c r="M107" s="5">
        <v>3.3498358991432202E-3</v>
      </c>
      <c r="N107" s="6">
        <v>394.10989308671299</v>
      </c>
      <c r="O107" s="6">
        <v>0.39167893012698402</v>
      </c>
      <c r="P107" s="6">
        <v>3.8019335485944099</v>
      </c>
      <c r="Q107" s="1">
        <v>2939.7805642633198</v>
      </c>
      <c r="R107" s="1">
        <v>16.770426332288402</v>
      </c>
      <c r="S107" s="7">
        <v>0.14402799999999999</v>
      </c>
      <c r="T107" s="7">
        <v>0.151814</v>
      </c>
      <c r="U107" s="7">
        <v>0.15976599999999999</v>
      </c>
      <c r="V107" s="7">
        <v>0.16886300000000001</v>
      </c>
      <c r="W107" s="7">
        <v>0.176428</v>
      </c>
      <c r="X107" s="7">
        <v>0.18445700000000001</v>
      </c>
      <c r="Y107" s="7">
        <v>0.192611</v>
      </c>
      <c r="Z107" s="7">
        <v>0.20158400000000001</v>
      </c>
      <c r="AA107" s="7">
        <v>0.20994599999999999</v>
      </c>
      <c r="AB107" s="7">
        <v>0.21728900000000001</v>
      </c>
    </row>
    <row r="108" spans="1:28" x14ac:dyDescent="0.3">
      <c r="A108" s="1">
        <v>107</v>
      </c>
      <c r="B108" s="1" t="s">
        <v>164</v>
      </c>
      <c r="C108" s="1" t="s">
        <v>148</v>
      </c>
      <c r="D108" s="2">
        <v>1</v>
      </c>
      <c r="E108" s="2" t="str">
        <f t="shared" si="1"/>
        <v>resilient</v>
      </c>
      <c r="F108" s="1" t="s">
        <v>105</v>
      </c>
      <c r="G108" s="5">
        <v>457</v>
      </c>
      <c r="H108" s="5">
        <v>700</v>
      </c>
      <c r="I108" s="6">
        <v>3.06345733041575</v>
      </c>
      <c r="J108" s="5">
        <v>5.1328343732953098E-3</v>
      </c>
      <c r="K108" s="5">
        <v>5.0257731958762798E-2</v>
      </c>
      <c r="L108" s="6">
        <v>0.12615365704100601</v>
      </c>
      <c r="M108" s="5">
        <v>6.7181081807362996E-3</v>
      </c>
      <c r="N108" s="6">
        <v>501.47300547618801</v>
      </c>
      <c r="O108" s="6">
        <v>0.350608139577894</v>
      </c>
      <c r="P108" s="6">
        <v>4.50160029840952</v>
      </c>
      <c r="Q108" s="1">
        <v>5170.9285714285697</v>
      </c>
      <c r="R108" s="1">
        <v>21.402999999999999</v>
      </c>
      <c r="S108" s="7">
        <v>0.12562000000000001</v>
      </c>
      <c r="T108" s="7">
        <v>0.13018399999999999</v>
      </c>
      <c r="U108" s="7">
        <v>0.13748099999999999</v>
      </c>
      <c r="V108" s="7">
        <v>0.14561399999999999</v>
      </c>
      <c r="W108" s="7">
        <v>0.15638099999999999</v>
      </c>
      <c r="X108" s="7">
        <v>0.16916800000000001</v>
      </c>
      <c r="Y108" s="7">
        <v>0.182451</v>
      </c>
      <c r="Z108" s="7">
        <v>0.19404199999999999</v>
      </c>
      <c r="AA108" s="7">
        <v>0.204596</v>
      </c>
      <c r="AB108" s="7">
        <v>0.215062</v>
      </c>
    </row>
    <row r="109" spans="1:28" x14ac:dyDescent="0.3">
      <c r="A109" s="1">
        <v>108</v>
      </c>
      <c r="B109" s="1" t="s">
        <v>165</v>
      </c>
      <c r="C109" s="1" t="s">
        <v>148</v>
      </c>
      <c r="D109" s="2">
        <v>0</v>
      </c>
      <c r="E109" s="2" t="str">
        <f t="shared" si="1"/>
        <v>sensitive</v>
      </c>
      <c r="F109" s="1" t="s">
        <v>105</v>
      </c>
      <c r="G109" s="5">
        <v>896</v>
      </c>
      <c r="H109" s="5">
        <v>1443</v>
      </c>
      <c r="I109" s="6">
        <v>3.2209821428571401</v>
      </c>
      <c r="J109" s="5">
        <v>7.0953316762389701E-3</v>
      </c>
      <c r="K109" s="5">
        <v>6.0402684563758302E-2</v>
      </c>
      <c r="L109" s="5">
        <v>7.8453382485709294E-2</v>
      </c>
      <c r="M109" s="5">
        <v>3.5988627294493199E-3</v>
      </c>
      <c r="N109" s="6">
        <v>523.30841762754801</v>
      </c>
      <c r="O109" s="6">
        <v>0.375133509282156</v>
      </c>
      <c r="P109" s="6">
        <v>4.2349744573001598</v>
      </c>
      <c r="Q109" s="1">
        <v>3776.1805555555502</v>
      </c>
      <c r="R109" s="1">
        <v>17.5632013888888</v>
      </c>
      <c r="S109" s="7">
        <v>0.13355600000000001</v>
      </c>
      <c r="T109" s="7">
        <v>0.140376</v>
      </c>
      <c r="U109" s="7">
        <v>0.14841599999999999</v>
      </c>
      <c r="V109" s="7">
        <v>0.15672800000000001</v>
      </c>
      <c r="W109" s="7">
        <v>0.164413</v>
      </c>
      <c r="X109" s="7">
        <v>0.172962</v>
      </c>
      <c r="Y109" s="7">
        <v>0.18143000000000001</v>
      </c>
      <c r="Z109" s="7">
        <v>0.18992400000000001</v>
      </c>
      <c r="AA109" s="7">
        <v>0.19836999999999999</v>
      </c>
      <c r="AB109" s="7">
        <v>0.206868</v>
      </c>
    </row>
    <row r="110" spans="1:28" x14ac:dyDescent="0.3">
      <c r="A110" s="1">
        <v>109</v>
      </c>
      <c r="B110" s="1" t="s">
        <v>166</v>
      </c>
      <c r="C110" s="1" t="s">
        <v>148</v>
      </c>
      <c r="D110" s="2">
        <v>0</v>
      </c>
      <c r="E110" s="2" t="str">
        <f t="shared" si="1"/>
        <v>sensitive</v>
      </c>
      <c r="F110" s="1" t="s">
        <v>105</v>
      </c>
      <c r="G110" s="5">
        <v>923</v>
      </c>
      <c r="H110" s="5">
        <v>1503</v>
      </c>
      <c r="I110" s="6">
        <v>3.2567713976164598</v>
      </c>
      <c r="J110" s="5">
        <v>1.3371700836227499E-3</v>
      </c>
      <c r="K110" s="5">
        <v>3.7298671941226297E-2</v>
      </c>
      <c r="L110" s="6">
        <v>0.238697668381738</v>
      </c>
      <c r="M110" s="5">
        <v>3.5322900191067899E-3</v>
      </c>
      <c r="N110" s="6">
        <v>468.99230548393501</v>
      </c>
      <c r="O110" s="6">
        <v>0.33350797178788799</v>
      </c>
      <c r="P110" s="6">
        <v>4.6362271653912899</v>
      </c>
      <c r="Q110" s="1">
        <v>3402.1695594125499</v>
      </c>
      <c r="R110" s="1">
        <v>17.469946595460598</v>
      </c>
      <c r="S110" s="7">
        <v>0.13112199999999999</v>
      </c>
      <c r="T110" s="7">
        <v>0.13696800000000001</v>
      </c>
      <c r="U110" s="7">
        <v>0.143539</v>
      </c>
      <c r="V110" s="7">
        <v>0.151229</v>
      </c>
      <c r="W110" s="7">
        <v>0.15745899999999999</v>
      </c>
      <c r="X110" s="7">
        <v>0.165102</v>
      </c>
      <c r="Y110" s="7">
        <v>0.17325699999999999</v>
      </c>
      <c r="Z110" s="7">
        <v>0.182064</v>
      </c>
      <c r="AA110" s="7">
        <v>0.190411</v>
      </c>
      <c r="AB110" s="7">
        <v>0.19910800000000001</v>
      </c>
    </row>
    <row r="111" spans="1:28" x14ac:dyDescent="0.3">
      <c r="A111" s="1">
        <v>110</v>
      </c>
      <c r="B111" s="1" t="s">
        <v>167</v>
      </c>
      <c r="C111" s="1" t="s">
        <v>148</v>
      </c>
      <c r="D111" s="2">
        <v>0</v>
      </c>
      <c r="E111" s="2" t="str">
        <f t="shared" si="1"/>
        <v>sensitive</v>
      </c>
      <c r="F111" s="1" t="s">
        <v>105</v>
      </c>
      <c r="G111" s="5">
        <v>831</v>
      </c>
      <c r="H111" s="5">
        <v>1423</v>
      </c>
      <c r="I111" s="6">
        <v>3.42478941034897</v>
      </c>
      <c r="J111" s="5">
        <v>4.19194714245354E-3</v>
      </c>
      <c r="K111" s="5">
        <v>4.1017227235438797E-2</v>
      </c>
      <c r="L111" s="6">
        <v>0.148423366496824</v>
      </c>
      <c r="M111" s="5">
        <v>4.1262523016252703E-3</v>
      </c>
      <c r="N111" s="6">
        <v>472.51481401139199</v>
      </c>
      <c r="O111" s="6">
        <v>0.355807201245462</v>
      </c>
      <c r="P111" s="6">
        <v>4.3120692200361201</v>
      </c>
      <c r="Q111" s="1">
        <v>3050.0702740688598</v>
      </c>
      <c r="R111" s="1">
        <v>16.887765284609898</v>
      </c>
      <c r="S111" s="7">
        <v>0.144256</v>
      </c>
      <c r="T111" s="7">
        <v>0.15507000000000001</v>
      </c>
      <c r="U111" s="7">
        <v>0.16562299999999999</v>
      </c>
      <c r="V111" s="7">
        <v>0.175236</v>
      </c>
      <c r="W111" s="7">
        <v>0.182615</v>
      </c>
      <c r="X111" s="7">
        <v>0.19048200000000001</v>
      </c>
      <c r="Y111" s="7">
        <v>0.19875200000000001</v>
      </c>
      <c r="Z111" s="7">
        <v>0.20797399999999999</v>
      </c>
      <c r="AA111" s="7">
        <v>0.21693799999999999</v>
      </c>
      <c r="AB111" s="7">
        <v>0.22453799999999999</v>
      </c>
    </row>
    <row r="112" spans="1:28" x14ac:dyDescent="0.3">
      <c r="A112" s="1">
        <v>111</v>
      </c>
      <c r="B112" s="1" t="s">
        <v>168</v>
      </c>
      <c r="C112" s="1" t="s">
        <v>169</v>
      </c>
      <c r="D112" s="2">
        <v>0</v>
      </c>
      <c r="E112" s="2" t="str">
        <f t="shared" si="1"/>
        <v>sensitive</v>
      </c>
      <c r="F112" s="1" t="s">
        <v>105</v>
      </c>
      <c r="G112" s="5">
        <v>908</v>
      </c>
      <c r="H112" s="5">
        <v>1683</v>
      </c>
      <c r="I112" s="5">
        <v>3.7070484581497798</v>
      </c>
      <c r="J112" s="6">
        <v>1.31834697885142E-2</v>
      </c>
      <c r="K112" s="5">
        <v>9.0104916683809905E-2</v>
      </c>
      <c r="L112" s="5">
        <v>4.46763043977828E-2</v>
      </c>
      <c r="M112" s="5">
        <v>4.08715375760725E-3</v>
      </c>
      <c r="N112" s="6">
        <v>416.50417388987597</v>
      </c>
      <c r="O112" s="5">
        <v>0.35347994037199998</v>
      </c>
      <c r="P112" s="6">
        <v>4.2436719438521902</v>
      </c>
      <c r="Q112" s="1">
        <v>3119.5187165775401</v>
      </c>
      <c r="R112" s="1">
        <v>16.245056446821099</v>
      </c>
      <c r="S112" s="7">
        <v>0.13450300000000001</v>
      </c>
      <c r="T112" s="7">
        <v>0.141204</v>
      </c>
      <c r="U112" s="7">
        <v>0.14797199999999999</v>
      </c>
      <c r="V112" s="7">
        <v>0.15435499999999999</v>
      </c>
      <c r="W112" s="7">
        <v>0.16101299999999999</v>
      </c>
      <c r="X112" s="7">
        <v>0.16823299999999999</v>
      </c>
      <c r="Y112" s="7">
        <v>0.17516799999999999</v>
      </c>
      <c r="Z112" s="7">
        <v>0.181892</v>
      </c>
      <c r="AA112" s="7">
        <v>0.18849199999999999</v>
      </c>
      <c r="AB112" s="7">
        <v>0.195191</v>
      </c>
    </row>
    <row r="113" spans="1:28" x14ac:dyDescent="0.3">
      <c r="A113" s="1">
        <v>112</v>
      </c>
      <c r="B113" s="1" t="s">
        <v>170</v>
      </c>
      <c r="C113" s="1" t="s">
        <v>171</v>
      </c>
      <c r="D113" s="2">
        <v>0</v>
      </c>
      <c r="E113" s="2" t="str">
        <f t="shared" si="1"/>
        <v>sensitive</v>
      </c>
      <c r="F113" s="1" t="s">
        <v>115</v>
      </c>
      <c r="G113" s="5">
        <v>771</v>
      </c>
      <c r="H113" s="5">
        <v>1086</v>
      </c>
      <c r="I113" s="6">
        <v>2.81712062256809</v>
      </c>
      <c r="J113" s="5">
        <v>4.6579090258141503E-3</v>
      </c>
      <c r="K113" s="5">
        <v>9.0571295866233095E-2</v>
      </c>
      <c r="L113" s="6">
        <v>0.114801343249157</v>
      </c>
      <c r="M113" s="5">
        <v>3.6585982111273902E-3</v>
      </c>
      <c r="N113" s="6">
        <v>372.67222008735399</v>
      </c>
      <c r="O113" s="6">
        <v>0.37143876215452298</v>
      </c>
      <c r="P113" s="6">
        <v>4.5484643478575899</v>
      </c>
      <c r="Q113" s="1">
        <v>3390.9340659340601</v>
      </c>
      <c r="R113" s="1">
        <v>17.222243589743499</v>
      </c>
      <c r="S113" s="7">
        <v>0.13953599999999999</v>
      </c>
      <c r="T113" s="7">
        <v>0.15229000000000001</v>
      </c>
      <c r="U113" s="7">
        <v>0.163913</v>
      </c>
      <c r="V113" s="7">
        <v>0.17551700000000001</v>
      </c>
      <c r="W113" s="7">
        <v>0.188193</v>
      </c>
      <c r="X113" s="7">
        <v>0.201686</v>
      </c>
      <c r="Y113" s="7">
        <v>0.21714700000000001</v>
      </c>
      <c r="Z113" s="7">
        <v>0.23103299999999999</v>
      </c>
      <c r="AA113" s="7">
        <v>0.24343999999999999</v>
      </c>
      <c r="AB113" s="7">
        <v>0.25357099999999999</v>
      </c>
    </row>
    <row r="114" spans="1:28" x14ac:dyDescent="0.3">
      <c r="A114" s="1">
        <v>113</v>
      </c>
      <c r="B114" s="1" t="s">
        <v>113</v>
      </c>
      <c r="C114" s="1" t="s">
        <v>114</v>
      </c>
      <c r="D114" s="2">
        <v>0</v>
      </c>
      <c r="E114" s="2" t="str">
        <f t="shared" si="1"/>
        <v>sensitive</v>
      </c>
      <c r="F114" s="1" t="s">
        <v>115</v>
      </c>
      <c r="G114" s="5">
        <v>887</v>
      </c>
      <c r="H114" s="5">
        <v>1520</v>
      </c>
      <c r="I114" s="5">
        <v>3.4272829763246899</v>
      </c>
      <c r="J114" s="5">
        <v>2.81044458997101E-3</v>
      </c>
      <c r="K114" s="5">
        <v>3.2757745048247799E-2</v>
      </c>
      <c r="L114" s="5">
        <v>8.2398572517613095E-2</v>
      </c>
      <c r="M114" s="5">
        <v>3.8682652102987399E-3</v>
      </c>
      <c r="N114" s="6">
        <v>410.11211846485401</v>
      </c>
      <c r="O114" s="6">
        <v>0.365963407566192</v>
      </c>
      <c r="P114" s="6">
        <v>4.2674697855429304</v>
      </c>
      <c r="Q114" s="1">
        <v>3568.0263157894701</v>
      </c>
      <c r="R114" s="1">
        <v>17.7208289473684</v>
      </c>
      <c r="S114" s="7">
        <v>0.13337499999999999</v>
      </c>
      <c r="T114" s="7">
        <v>0.13814100000000001</v>
      </c>
      <c r="U114" s="7">
        <v>0.14397399999999999</v>
      </c>
      <c r="V114" s="7">
        <v>0.15126999999999999</v>
      </c>
      <c r="W114" s="7">
        <v>0.16009399999999999</v>
      </c>
      <c r="X114" s="7">
        <v>0.165992</v>
      </c>
      <c r="Y114" s="7">
        <v>0.17313799999999999</v>
      </c>
      <c r="Z114" s="7">
        <v>0.18221399999999999</v>
      </c>
      <c r="AA114" s="7">
        <v>0.191469</v>
      </c>
      <c r="AB114" s="7">
        <v>0.20070399999999999</v>
      </c>
    </row>
    <row r="115" spans="1:28" x14ac:dyDescent="0.3">
      <c r="A115" s="1">
        <v>114</v>
      </c>
      <c r="B115" s="1" t="s">
        <v>172</v>
      </c>
      <c r="C115" s="1" t="s">
        <v>173</v>
      </c>
      <c r="D115" s="2">
        <v>0</v>
      </c>
      <c r="E115" s="2" t="str">
        <f t="shared" si="1"/>
        <v>sensitive</v>
      </c>
      <c r="F115" s="1" t="s">
        <v>76</v>
      </c>
      <c r="G115" s="5">
        <v>543</v>
      </c>
      <c r="H115" s="5">
        <v>888</v>
      </c>
      <c r="I115" s="6">
        <v>3.2707182320441901</v>
      </c>
      <c r="J115" s="5">
        <v>6.0798443518001203E-3</v>
      </c>
      <c r="K115" s="6">
        <v>3.88349514563106E-2</v>
      </c>
      <c r="L115" s="6">
        <v>1.46756383025966E-2</v>
      </c>
      <c r="M115" s="5">
        <v>6.0345354834763802E-3</v>
      </c>
      <c r="N115" s="6">
        <v>356.28932127829501</v>
      </c>
      <c r="O115" s="5">
        <v>0.34971254710048499</v>
      </c>
      <c r="P115" s="6">
        <v>4.3361830967761001</v>
      </c>
      <c r="Q115" s="1">
        <v>2982.9405162738399</v>
      </c>
      <c r="R115" s="1">
        <v>16.7750168350168</v>
      </c>
      <c r="S115" s="7">
        <v>0.14381099999999999</v>
      </c>
      <c r="T115" s="7">
        <v>0.14949999999999999</v>
      </c>
      <c r="U115" s="7">
        <v>0.158828</v>
      </c>
      <c r="V115" s="7">
        <v>0.16947699999999999</v>
      </c>
      <c r="W115" s="7">
        <v>0.18124799999999999</v>
      </c>
      <c r="X115" s="7">
        <v>0.192053</v>
      </c>
      <c r="Y115" s="7">
        <v>0.20447399999999999</v>
      </c>
      <c r="Z115" s="7">
        <v>0.21734100000000001</v>
      </c>
      <c r="AA115" s="7">
        <v>0.229961</v>
      </c>
      <c r="AB115" s="7">
        <v>0.24157400000000001</v>
      </c>
    </row>
    <row r="116" spans="1:28" x14ac:dyDescent="0.3">
      <c r="A116" s="1">
        <v>115</v>
      </c>
      <c r="B116" s="1" t="s">
        <v>174</v>
      </c>
      <c r="C116" s="1" t="s">
        <v>175</v>
      </c>
      <c r="D116" s="2">
        <v>0</v>
      </c>
      <c r="E116" s="2" t="str">
        <f t="shared" si="1"/>
        <v>sensitive</v>
      </c>
      <c r="F116" s="1" t="s">
        <v>76</v>
      </c>
      <c r="G116" s="5">
        <v>917</v>
      </c>
      <c r="H116" s="5">
        <v>1422</v>
      </c>
      <c r="I116" s="6">
        <v>3.1014176663031598</v>
      </c>
      <c r="J116" s="5">
        <v>5.55526183270933E-3</v>
      </c>
      <c r="K116" s="5">
        <v>6.1147695202257699E-2</v>
      </c>
      <c r="L116" s="5">
        <v>-3.17878504781582E-2</v>
      </c>
      <c r="M116" s="5">
        <v>3.38582714661917E-3</v>
      </c>
      <c r="N116" s="6">
        <v>354.82873248019098</v>
      </c>
      <c r="O116" s="6">
        <v>0.37095946793950002</v>
      </c>
      <c r="P116" s="6">
        <v>4.1202601562451697</v>
      </c>
      <c r="Q116" s="1">
        <v>2880.6064880112799</v>
      </c>
      <c r="R116" s="1">
        <v>16.602785613540199</v>
      </c>
      <c r="S116" s="7">
        <v>0.149781</v>
      </c>
      <c r="T116" s="7">
        <v>0.15734899999999999</v>
      </c>
      <c r="U116" s="7">
        <v>0.16887099999999999</v>
      </c>
      <c r="V116" s="7">
        <v>0.18274099999999999</v>
      </c>
      <c r="W116" s="7">
        <v>0.197986</v>
      </c>
      <c r="X116" s="7">
        <v>0.21174999999999999</v>
      </c>
      <c r="Y116" s="7">
        <v>0.22526399999999999</v>
      </c>
      <c r="Z116" s="7">
        <v>0.23714299999999999</v>
      </c>
      <c r="AA116" s="7">
        <v>0.24754499999999999</v>
      </c>
      <c r="AB116" s="7">
        <v>0.25637799999999999</v>
      </c>
    </row>
    <row r="117" spans="1:28" x14ac:dyDescent="0.3">
      <c r="A117" s="1">
        <v>116</v>
      </c>
      <c r="B117" s="1" t="s">
        <v>176</v>
      </c>
      <c r="C117" s="1" t="s">
        <v>83</v>
      </c>
      <c r="D117" s="2">
        <v>0</v>
      </c>
      <c r="E117" s="2" t="str">
        <f t="shared" si="1"/>
        <v>sensitive</v>
      </c>
      <c r="F117" s="1" t="s">
        <v>76</v>
      </c>
      <c r="G117" s="5">
        <v>419</v>
      </c>
      <c r="H117" s="5">
        <v>666</v>
      </c>
      <c r="I117" s="6">
        <v>3.1789976133651501</v>
      </c>
      <c r="J117" s="6">
        <v>2.00593859250018E-2</v>
      </c>
      <c r="K117" s="5">
        <v>0.10199999999999999</v>
      </c>
      <c r="L117" s="6">
        <v>2.7392473053935201E-2</v>
      </c>
      <c r="M117" s="5">
        <v>7.6052574482419902E-3</v>
      </c>
      <c r="N117" s="6">
        <v>396.13366505459197</v>
      </c>
      <c r="O117" s="6">
        <v>0.37982278932482799</v>
      </c>
      <c r="P117" s="6">
        <v>4.1514003346122097</v>
      </c>
      <c r="Q117" s="1">
        <v>3112.3511904761899</v>
      </c>
      <c r="R117" s="1">
        <v>16.875624999999999</v>
      </c>
      <c r="S117" s="7">
        <v>0.14343400000000001</v>
      </c>
      <c r="T117" s="7">
        <v>0.15370200000000001</v>
      </c>
      <c r="U117" s="7">
        <v>0.17123099999999999</v>
      </c>
      <c r="V117" s="7">
        <v>0.192247</v>
      </c>
      <c r="W117" s="7">
        <v>0.21393999999999999</v>
      </c>
      <c r="X117" s="7">
        <v>0.23283400000000001</v>
      </c>
      <c r="Y117" s="7">
        <v>0.24828</v>
      </c>
      <c r="Z117" s="7">
        <v>0.26021300000000003</v>
      </c>
      <c r="AA117" s="7">
        <v>0.26941300000000001</v>
      </c>
      <c r="AB117" s="7">
        <v>0.27678900000000001</v>
      </c>
    </row>
    <row r="118" spans="1:28" x14ac:dyDescent="0.3">
      <c r="A118" s="1">
        <v>117</v>
      </c>
      <c r="B118" s="1" t="s">
        <v>177</v>
      </c>
      <c r="C118" s="1" t="s">
        <v>95</v>
      </c>
      <c r="D118" s="2">
        <v>0</v>
      </c>
      <c r="E118" s="2" t="str">
        <f t="shared" si="1"/>
        <v>sensitive</v>
      </c>
      <c r="F118" s="1" t="s">
        <v>76</v>
      </c>
      <c r="G118" s="5">
        <v>447</v>
      </c>
      <c r="H118" s="5">
        <v>735</v>
      </c>
      <c r="I118" s="6">
        <v>3.2885906040268398</v>
      </c>
      <c r="J118" s="6">
        <v>1.83778242110175E-2</v>
      </c>
      <c r="K118" s="5">
        <v>8.9207048458149696E-2</v>
      </c>
      <c r="L118" s="6">
        <v>0.156116314882734</v>
      </c>
      <c r="M118" s="5">
        <v>7.3735215336924696E-3</v>
      </c>
      <c r="N118" s="6">
        <v>331.79463640391799</v>
      </c>
      <c r="O118" s="6">
        <v>0.34030513477607999</v>
      </c>
      <c r="P118" s="6">
        <v>4.5429173540230101</v>
      </c>
      <c r="Q118" s="1">
        <v>3205.7588075880699</v>
      </c>
      <c r="R118" s="1">
        <v>17.188265582655799</v>
      </c>
      <c r="S118" s="7">
        <v>0.146873</v>
      </c>
      <c r="T118" s="7">
        <v>0.16095400000000001</v>
      </c>
      <c r="U118" s="7">
        <v>0.174459</v>
      </c>
      <c r="V118" s="7">
        <v>0.18962499999999999</v>
      </c>
      <c r="W118" s="7">
        <v>0.20672699999999999</v>
      </c>
      <c r="X118" s="7">
        <v>0.22250300000000001</v>
      </c>
      <c r="Y118" s="7">
        <v>0.23730899999999999</v>
      </c>
      <c r="Z118" s="7">
        <v>0.24976799999999999</v>
      </c>
      <c r="AA118" s="7">
        <v>0.26017899999999999</v>
      </c>
      <c r="AB118" s="7">
        <v>0.26880700000000002</v>
      </c>
    </row>
    <row r="119" spans="1:28" x14ac:dyDescent="0.3">
      <c r="A119" s="1">
        <v>118</v>
      </c>
      <c r="B119" s="1" t="s">
        <v>178</v>
      </c>
      <c r="C119" s="1" t="s">
        <v>83</v>
      </c>
      <c r="D119" s="2">
        <v>0</v>
      </c>
      <c r="E119" s="2" t="str">
        <f t="shared" si="1"/>
        <v>sensitive</v>
      </c>
      <c r="F119" s="1" t="s">
        <v>76</v>
      </c>
      <c r="G119" s="5">
        <v>508</v>
      </c>
      <c r="H119" s="5">
        <v>827</v>
      </c>
      <c r="I119" s="6">
        <v>3.2559055118110201</v>
      </c>
      <c r="J119" s="5">
        <v>5.4004173868830397E-3</v>
      </c>
      <c r="K119" s="5">
        <v>5.5500000000000001E-2</v>
      </c>
      <c r="L119" s="5">
        <v>-8.0326849212501994E-3</v>
      </c>
      <c r="M119" s="5">
        <v>6.4219043625463896E-3</v>
      </c>
      <c r="N119" s="6">
        <v>433.29893325608498</v>
      </c>
      <c r="O119" s="6">
        <v>0.36027571024239202</v>
      </c>
      <c r="P119" s="6">
        <v>4.32783196921193</v>
      </c>
      <c r="Q119" s="1">
        <v>3025.9036144578299</v>
      </c>
      <c r="R119" s="1">
        <v>16.816590361445702</v>
      </c>
      <c r="S119" s="7">
        <v>0.146782</v>
      </c>
      <c r="T119" s="7">
        <v>0.15429000000000001</v>
      </c>
      <c r="U119" s="7">
        <v>0.16567599999999999</v>
      </c>
      <c r="V119" s="7">
        <v>0.176841</v>
      </c>
      <c r="W119" s="7">
        <v>0.18918299999999999</v>
      </c>
      <c r="X119" s="7">
        <v>0.202513</v>
      </c>
      <c r="Y119" s="7">
        <v>0.21588299999999999</v>
      </c>
      <c r="Z119" s="7">
        <v>0.22786300000000001</v>
      </c>
      <c r="AA119" s="7">
        <v>0.23949799999999999</v>
      </c>
      <c r="AB119" s="7">
        <v>0.25059900000000002</v>
      </c>
    </row>
    <row r="120" spans="1:28" x14ac:dyDescent="0.3">
      <c r="A120" s="1">
        <v>119</v>
      </c>
      <c r="B120" s="1" t="s">
        <v>179</v>
      </c>
      <c r="C120" s="1" t="s">
        <v>180</v>
      </c>
      <c r="D120" s="2">
        <v>1</v>
      </c>
      <c r="E120" s="2" t="str">
        <f t="shared" si="1"/>
        <v>resilient</v>
      </c>
      <c r="F120" s="1" t="s">
        <v>181</v>
      </c>
      <c r="G120" s="5">
        <v>841</v>
      </c>
      <c r="H120" s="5">
        <v>1417</v>
      </c>
      <c r="I120" s="6">
        <v>3.36979785969084</v>
      </c>
      <c r="J120" s="6">
        <v>1.1287966118468599E-2</v>
      </c>
      <c r="K120" s="5">
        <v>7.3516386182462298E-2</v>
      </c>
      <c r="L120" s="6">
        <v>0.26549418453198398</v>
      </c>
      <c r="M120" s="5">
        <v>4.0116641186795704E-3</v>
      </c>
      <c r="N120" s="6">
        <v>360.25492520193097</v>
      </c>
      <c r="O120" s="5">
        <v>0.40663690813415898</v>
      </c>
      <c r="P120" s="5">
        <v>3.7196785016302898</v>
      </c>
      <c r="Q120" s="1">
        <v>5211.98871650211</v>
      </c>
      <c r="R120" s="1">
        <v>22.13389280677</v>
      </c>
      <c r="S120" s="7">
        <v>0.124282</v>
      </c>
      <c r="T120" s="7">
        <v>0.126281</v>
      </c>
      <c r="U120" s="7">
        <v>0.129048</v>
      </c>
      <c r="V120" s="7">
        <v>0.132685</v>
      </c>
      <c r="W120" s="7">
        <v>0.13705300000000001</v>
      </c>
      <c r="X120" s="7">
        <v>0.14246300000000001</v>
      </c>
      <c r="Y120" s="7">
        <v>0.14902599999999999</v>
      </c>
      <c r="Z120" s="7">
        <v>0.15550600000000001</v>
      </c>
      <c r="AA120" s="7">
        <v>0.16075</v>
      </c>
      <c r="AB120" s="7">
        <v>0.16640099999999999</v>
      </c>
    </row>
    <row r="121" spans="1:28" x14ac:dyDescent="0.3">
      <c r="A121" s="1">
        <v>120</v>
      </c>
      <c r="B121" s="1" t="s">
        <v>182</v>
      </c>
      <c r="C121" s="1" t="s">
        <v>183</v>
      </c>
      <c r="D121" s="2">
        <v>0</v>
      </c>
      <c r="E121" s="2" t="str">
        <f t="shared" si="1"/>
        <v>sensitive</v>
      </c>
      <c r="F121" s="1" t="s">
        <v>181</v>
      </c>
      <c r="G121" s="5">
        <v>533</v>
      </c>
      <c r="H121" s="5">
        <v>893</v>
      </c>
      <c r="I121" s="6">
        <v>3.3508442776735401</v>
      </c>
      <c r="J121" s="5">
        <v>5.77109456991596E-3</v>
      </c>
      <c r="K121" s="5">
        <v>7.3858549686660696E-2</v>
      </c>
      <c r="L121" s="6">
        <v>0.188402108151698</v>
      </c>
      <c r="M121" s="5">
        <v>6.2985794693111701E-3</v>
      </c>
      <c r="N121" s="6">
        <v>377.40500907427003</v>
      </c>
      <c r="O121" s="6">
        <v>0.361917584293245</v>
      </c>
      <c r="P121" s="5">
        <v>4.3347898533669396</v>
      </c>
      <c r="Q121" s="1">
        <v>2975.50448430493</v>
      </c>
      <c r="R121" s="1">
        <v>16.506434977578401</v>
      </c>
      <c r="S121" s="7">
        <v>0.14051</v>
      </c>
      <c r="T121" s="7">
        <v>0.14923800000000001</v>
      </c>
      <c r="U121" s="7">
        <v>0.16040599999999999</v>
      </c>
      <c r="V121" s="7">
        <v>0.17311199999999999</v>
      </c>
      <c r="W121" s="7">
        <v>0.18602299999999999</v>
      </c>
      <c r="X121" s="7">
        <v>0.200069</v>
      </c>
      <c r="Y121" s="7">
        <v>0.21205199999999999</v>
      </c>
      <c r="Z121" s="7">
        <v>0.22360099999999999</v>
      </c>
      <c r="AA121" s="7">
        <v>0.23461899999999999</v>
      </c>
      <c r="AB121" s="7">
        <v>0.244342</v>
      </c>
    </row>
    <row r="122" spans="1:28" x14ac:dyDescent="0.3">
      <c r="A122" s="1">
        <v>121</v>
      </c>
      <c r="B122" s="1" t="s">
        <v>184</v>
      </c>
      <c r="C122" s="1" t="s">
        <v>102</v>
      </c>
      <c r="D122" s="2">
        <v>0</v>
      </c>
      <c r="E122" s="2" t="str">
        <f t="shared" si="1"/>
        <v>sensitive</v>
      </c>
      <c r="F122" s="1" t="s">
        <v>76</v>
      </c>
      <c r="G122" s="5">
        <v>976</v>
      </c>
      <c r="H122" s="5">
        <v>1619</v>
      </c>
      <c r="I122" s="6">
        <v>3.3176229508196702</v>
      </c>
      <c r="J122" s="6">
        <v>1.56782406086661E-2</v>
      </c>
      <c r="K122" s="5">
        <v>8.51279452748923E-2</v>
      </c>
      <c r="L122" s="5">
        <v>7.7807249371941306E-2</v>
      </c>
      <c r="M122" s="5">
        <v>3.4026902059688898E-3</v>
      </c>
      <c r="N122" s="6">
        <v>370.084070050018</v>
      </c>
      <c r="O122" s="6">
        <v>0.40137169948642698</v>
      </c>
      <c r="P122" s="6">
        <v>3.7859809734039001</v>
      </c>
      <c r="Q122" s="1">
        <v>1742.9012345679</v>
      </c>
      <c r="R122" s="1">
        <v>12.5993148148148</v>
      </c>
      <c r="S122" s="7">
        <v>0.16816300000000001</v>
      </c>
      <c r="T122" s="7">
        <v>0.18403600000000001</v>
      </c>
      <c r="U122" s="7">
        <v>0.19800400000000001</v>
      </c>
      <c r="V122" s="7">
        <v>0.21379799999999999</v>
      </c>
      <c r="W122" s="7">
        <v>0.23150599999999999</v>
      </c>
      <c r="X122" s="7">
        <v>0.24705099999999999</v>
      </c>
      <c r="Y122" s="7">
        <v>0.26035999999999998</v>
      </c>
      <c r="Z122" s="7">
        <v>0.27100299999999999</v>
      </c>
      <c r="AA122" s="7">
        <v>0.27931400000000001</v>
      </c>
      <c r="AB122" s="7">
        <v>0.28617300000000001</v>
      </c>
    </row>
    <row r="123" spans="1:28" x14ac:dyDescent="0.3">
      <c r="A123" s="1">
        <v>122</v>
      </c>
      <c r="B123" s="1" t="s">
        <v>185</v>
      </c>
      <c r="C123" s="1" t="s">
        <v>186</v>
      </c>
      <c r="D123" s="2">
        <v>0</v>
      </c>
      <c r="E123" s="2" t="str">
        <f t="shared" si="1"/>
        <v>sensitive</v>
      </c>
      <c r="F123" s="1" t="s">
        <v>76</v>
      </c>
      <c r="G123" s="5">
        <v>689</v>
      </c>
      <c r="H123" s="5">
        <v>1128</v>
      </c>
      <c r="I123" s="6">
        <v>3.2743105950653102</v>
      </c>
      <c r="J123" s="5">
        <v>7.06446946378561E-3</v>
      </c>
      <c r="K123" s="5">
        <v>9.4360086767895798E-2</v>
      </c>
      <c r="L123" s="5">
        <v>6.6220164276596202E-2</v>
      </c>
      <c r="M123" s="5">
        <v>4.7591723765484104E-3</v>
      </c>
      <c r="N123" s="6">
        <v>388.49119170852299</v>
      </c>
      <c r="O123" s="6">
        <v>0.39809271509559202</v>
      </c>
      <c r="P123" s="6">
        <v>3.7804128073758698</v>
      </c>
      <c r="Q123" s="1">
        <v>2706.8505338078198</v>
      </c>
      <c r="R123" s="1">
        <v>16.105693950177901</v>
      </c>
      <c r="S123" s="7">
        <v>0.151203</v>
      </c>
      <c r="T123" s="7">
        <v>0.161135</v>
      </c>
      <c r="U123" s="7">
        <v>0.16967499999999999</v>
      </c>
      <c r="V123" s="7">
        <v>0.181252</v>
      </c>
      <c r="W123" s="7">
        <v>0.194526</v>
      </c>
      <c r="X123" s="7">
        <v>0.208477</v>
      </c>
      <c r="Y123" s="7">
        <v>0.221636</v>
      </c>
      <c r="Z123" s="7">
        <v>0.232902</v>
      </c>
      <c r="AA123" s="7">
        <v>0.243586</v>
      </c>
      <c r="AB123" s="7">
        <v>0.25322600000000001</v>
      </c>
    </row>
    <row r="124" spans="1:28" x14ac:dyDescent="0.3">
      <c r="A124" s="1">
        <v>123</v>
      </c>
      <c r="B124" s="1" t="s">
        <v>187</v>
      </c>
      <c r="C124" s="1" t="s">
        <v>83</v>
      </c>
      <c r="D124" s="2">
        <v>0</v>
      </c>
      <c r="E124" s="2" t="str">
        <f t="shared" si="1"/>
        <v>sensitive</v>
      </c>
      <c r="F124" s="1" t="s">
        <v>76</v>
      </c>
      <c r="G124" s="5">
        <v>861</v>
      </c>
      <c r="H124" s="5">
        <v>1444</v>
      </c>
      <c r="I124" s="6">
        <v>3.3542392566782802</v>
      </c>
      <c r="J124" s="5">
        <v>9.2524580215596498E-3</v>
      </c>
      <c r="K124" s="5">
        <v>5.9898762654668099E-2</v>
      </c>
      <c r="L124" s="6">
        <v>2.29415251808812E-2</v>
      </c>
      <c r="M124" s="5">
        <v>3.9002782054398601E-3</v>
      </c>
      <c r="N124" s="6">
        <v>411.29674975314498</v>
      </c>
      <c r="O124" s="5">
        <v>0.33757138930250102</v>
      </c>
      <c r="P124" s="6">
        <v>4.4844456218933599</v>
      </c>
      <c r="Q124" s="1">
        <v>3149.5159059474399</v>
      </c>
      <c r="R124" s="1">
        <v>16.9760373443983</v>
      </c>
      <c r="S124" s="7">
        <v>0.14033799999999999</v>
      </c>
      <c r="T124" s="7">
        <v>0.14713699999999999</v>
      </c>
      <c r="U124" s="7">
        <v>0.15498700000000001</v>
      </c>
      <c r="V124" s="7">
        <v>0.16491500000000001</v>
      </c>
      <c r="W124" s="7">
        <v>0.17379700000000001</v>
      </c>
      <c r="X124" s="7">
        <v>0.183472</v>
      </c>
      <c r="Y124" s="7">
        <v>0.19401599999999999</v>
      </c>
      <c r="Z124" s="7">
        <v>0.20546400000000001</v>
      </c>
      <c r="AA124" s="7">
        <v>0.216307</v>
      </c>
      <c r="AB124" s="7">
        <v>0.22667499999999999</v>
      </c>
    </row>
    <row r="125" spans="1:28" x14ac:dyDescent="0.3">
      <c r="A125" s="1">
        <v>124</v>
      </c>
      <c r="B125" s="1" t="s">
        <v>188</v>
      </c>
      <c r="C125" s="1" t="s">
        <v>98</v>
      </c>
      <c r="D125" s="2">
        <v>0</v>
      </c>
      <c r="E125" s="2" t="str">
        <f t="shared" si="1"/>
        <v>sensitive</v>
      </c>
      <c r="F125" s="1" t="s">
        <v>76</v>
      </c>
      <c r="G125" s="5">
        <v>953</v>
      </c>
      <c r="H125" s="5">
        <v>1696</v>
      </c>
      <c r="I125" s="6">
        <v>3.55928646379853</v>
      </c>
      <c r="J125" s="5">
        <v>5.6280989815766401E-3</v>
      </c>
      <c r="K125" s="5">
        <v>7.2257499452594701E-2</v>
      </c>
      <c r="L125" s="6">
        <v>0.18849697620692599</v>
      </c>
      <c r="M125" s="5">
        <v>3.73874628550265E-3</v>
      </c>
      <c r="N125" s="6">
        <v>404.08224039032098</v>
      </c>
      <c r="O125" s="6">
        <v>0.376951009804252</v>
      </c>
      <c r="P125" s="6">
        <v>4.1155189394442004</v>
      </c>
      <c r="Q125" s="1">
        <v>3320.9316037735798</v>
      </c>
      <c r="R125" s="1">
        <v>17.139540094339601</v>
      </c>
      <c r="S125" s="7">
        <v>0.13412399999999999</v>
      </c>
      <c r="T125" s="7">
        <v>0.139824</v>
      </c>
      <c r="U125" s="7">
        <v>0.14668999999999999</v>
      </c>
      <c r="V125" s="7">
        <v>0.152031</v>
      </c>
      <c r="W125" s="7">
        <v>0.15895799999999999</v>
      </c>
      <c r="X125" s="7">
        <v>0.16567200000000001</v>
      </c>
      <c r="Y125" s="7">
        <v>0.17201900000000001</v>
      </c>
      <c r="Z125" s="7">
        <v>0.17871400000000001</v>
      </c>
      <c r="AA125" s="7">
        <v>0.18618899999999999</v>
      </c>
      <c r="AB125" s="7">
        <v>0.19462499999999999</v>
      </c>
    </row>
    <row r="126" spans="1:28" x14ac:dyDescent="0.3">
      <c r="A126" s="1">
        <v>125</v>
      </c>
      <c r="B126" s="1" t="s">
        <v>189</v>
      </c>
      <c r="C126" s="1" t="s">
        <v>89</v>
      </c>
      <c r="D126" s="2">
        <v>0</v>
      </c>
      <c r="E126" s="2" t="str">
        <f t="shared" si="1"/>
        <v>sensitive</v>
      </c>
      <c r="F126" s="1" t="s">
        <v>76</v>
      </c>
      <c r="G126" s="5">
        <v>864</v>
      </c>
      <c r="H126" s="5">
        <v>1387</v>
      </c>
      <c r="I126" s="6">
        <v>3.2106481481481399</v>
      </c>
      <c r="J126" s="5">
        <v>5.2793164875002902E-3</v>
      </c>
      <c r="K126" s="5">
        <v>6.3329312424607903E-2</v>
      </c>
      <c r="L126" s="5">
        <v>7.3993404569192497E-2</v>
      </c>
      <c r="M126" s="5">
        <v>3.7203338912493002E-3</v>
      </c>
      <c r="N126" s="6">
        <v>379.80401726928102</v>
      </c>
      <c r="O126" s="6">
        <v>0.309909958296121</v>
      </c>
      <c r="P126" s="6">
        <v>4.96439269491594</v>
      </c>
      <c r="Q126" s="1">
        <v>2803.8656069364101</v>
      </c>
      <c r="R126" s="1">
        <v>16.376206647398799</v>
      </c>
      <c r="S126" s="7">
        <v>0.151583</v>
      </c>
      <c r="T126" s="7">
        <v>0.16289799999999999</v>
      </c>
      <c r="U126" s="7">
        <v>0.17436499999999999</v>
      </c>
      <c r="V126" s="7">
        <v>0.188082</v>
      </c>
      <c r="W126" s="7">
        <v>0.202792</v>
      </c>
      <c r="X126" s="7">
        <v>0.215757</v>
      </c>
      <c r="Y126" s="7">
        <v>0.227603</v>
      </c>
      <c r="Z126" s="7">
        <v>0.23863500000000001</v>
      </c>
      <c r="AA126" s="7">
        <v>0.24832799999999999</v>
      </c>
      <c r="AB126" s="7">
        <v>0.256774</v>
      </c>
    </row>
    <row r="127" spans="1:28" x14ac:dyDescent="0.3">
      <c r="A127" s="1">
        <v>126</v>
      </c>
      <c r="B127" s="1" t="s">
        <v>190</v>
      </c>
      <c r="C127" s="1" t="s">
        <v>191</v>
      </c>
      <c r="D127" s="2">
        <v>0</v>
      </c>
      <c r="E127" s="2" t="str">
        <f t="shared" si="1"/>
        <v>sensitive</v>
      </c>
      <c r="F127" s="1" t="s">
        <v>76</v>
      </c>
      <c r="G127" s="5">
        <v>617</v>
      </c>
      <c r="H127" s="5">
        <v>859</v>
      </c>
      <c r="I127" s="6">
        <v>2.7844408427876801</v>
      </c>
      <c r="J127" s="5">
        <v>9.5392431981668295E-3</v>
      </c>
      <c r="K127" s="5">
        <v>7.5089392133492194E-2</v>
      </c>
      <c r="L127" s="5">
        <v>7.6336548125453693E-2</v>
      </c>
      <c r="M127" s="5">
        <v>4.5201961733566196E-3</v>
      </c>
      <c r="N127" s="6">
        <v>312.28539269200098</v>
      </c>
      <c r="O127" s="6">
        <v>0.38307631606751003</v>
      </c>
      <c r="P127" s="6">
        <v>4.0277870587792002</v>
      </c>
      <c r="Q127" s="1">
        <v>2930.8634772462001</v>
      </c>
      <c r="R127" s="1">
        <v>16.604399066511</v>
      </c>
      <c r="S127" s="7">
        <v>0.148033</v>
      </c>
      <c r="T127" s="7">
        <v>0.165463</v>
      </c>
      <c r="U127" s="7">
        <v>0.18348200000000001</v>
      </c>
      <c r="V127" s="7">
        <v>0.201431</v>
      </c>
      <c r="W127" s="7">
        <v>0.222083</v>
      </c>
      <c r="X127" s="7">
        <v>0.24068700000000001</v>
      </c>
      <c r="Y127" s="7">
        <v>0.25565399999999999</v>
      </c>
      <c r="Z127" s="7">
        <v>0.26730100000000001</v>
      </c>
      <c r="AA127" s="7">
        <v>0.27574500000000002</v>
      </c>
      <c r="AB127" s="7">
        <v>0.28217300000000001</v>
      </c>
    </row>
    <row r="128" spans="1:28" x14ac:dyDescent="0.3">
      <c r="A128" s="1">
        <v>127</v>
      </c>
      <c r="B128" s="1" t="s">
        <v>192</v>
      </c>
      <c r="C128" s="1" t="s">
        <v>95</v>
      </c>
      <c r="D128" s="2">
        <v>0</v>
      </c>
      <c r="E128" s="2" t="str">
        <f t="shared" si="1"/>
        <v>sensitive</v>
      </c>
      <c r="F128" s="1" t="s">
        <v>76</v>
      </c>
      <c r="G128" s="5">
        <v>617</v>
      </c>
      <c r="H128" s="5">
        <v>927</v>
      </c>
      <c r="I128" s="6">
        <v>3.0048622366288402</v>
      </c>
      <c r="J128" s="6">
        <v>1.33286835003581E-2</v>
      </c>
      <c r="K128" s="5">
        <v>9.6096096096096095E-2</v>
      </c>
      <c r="L128" s="6">
        <v>0.114696019340678</v>
      </c>
      <c r="M128" s="5">
        <v>4.8780231114104698E-3</v>
      </c>
      <c r="N128" s="6">
        <v>395.52847163638597</v>
      </c>
      <c r="O128" s="6">
        <v>0.36996446902235802</v>
      </c>
      <c r="P128" s="6">
        <v>4.1299747331412098</v>
      </c>
      <c r="Q128" s="1">
        <v>3218.52654387865</v>
      </c>
      <c r="R128" s="1">
        <v>17.192513542795201</v>
      </c>
      <c r="S128" s="7">
        <v>0.142234</v>
      </c>
      <c r="T128" s="7">
        <v>0.15553800000000001</v>
      </c>
      <c r="U128" s="7">
        <v>0.17238899999999999</v>
      </c>
      <c r="V128" s="7">
        <v>0.192302</v>
      </c>
      <c r="W128" s="7">
        <v>0.21101</v>
      </c>
      <c r="X128" s="7">
        <v>0.22836200000000001</v>
      </c>
      <c r="Y128" s="7">
        <v>0.24351300000000001</v>
      </c>
      <c r="Z128" s="7">
        <v>0.25561200000000001</v>
      </c>
      <c r="AA128" s="7">
        <v>0.265237</v>
      </c>
      <c r="AB128" s="7">
        <v>0.27317399999999997</v>
      </c>
    </row>
    <row r="129" spans="1:28" x14ac:dyDescent="0.3">
      <c r="A129" s="1">
        <v>128</v>
      </c>
      <c r="B129" s="1" t="s">
        <v>193</v>
      </c>
      <c r="C129" s="1" t="s">
        <v>194</v>
      </c>
      <c r="D129" s="2">
        <v>0</v>
      </c>
      <c r="E129" s="2" t="str">
        <f t="shared" si="1"/>
        <v>sensitive</v>
      </c>
      <c r="F129" s="1" t="s">
        <v>76</v>
      </c>
      <c r="G129" s="5">
        <v>764</v>
      </c>
      <c r="H129" s="5">
        <v>1152</v>
      </c>
      <c r="I129" s="6">
        <v>3.0157068062827199</v>
      </c>
      <c r="J129" s="6">
        <v>1.1483713828636E-2</v>
      </c>
      <c r="K129" s="6">
        <v>0.100624024960998</v>
      </c>
      <c r="L129" s="6">
        <v>4.9541618322731899E-2</v>
      </c>
      <c r="M129" s="5">
        <v>3.95243356000356E-3</v>
      </c>
      <c r="N129" s="5">
        <v>397.17462784473503</v>
      </c>
      <c r="O129" s="6">
        <v>0.33110876459525102</v>
      </c>
      <c r="P129" s="6">
        <v>4.6124893091077102</v>
      </c>
      <c r="Q129" s="1">
        <v>2799.12891986062</v>
      </c>
      <c r="R129" s="1">
        <v>16.005391986062701</v>
      </c>
      <c r="S129" s="7">
        <v>0.15030199999999999</v>
      </c>
      <c r="T129" s="7">
        <v>0.16312599999999999</v>
      </c>
      <c r="U129" s="7">
        <v>0.17677799999999999</v>
      </c>
      <c r="V129" s="7">
        <v>0.19040000000000001</v>
      </c>
      <c r="W129" s="7">
        <v>0.204045</v>
      </c>
      <c r="X129" s="7">
        <v>0.21646000000000001</v>
      </c>
      <c r="Y129" s="7">
        <v>0.228409</v>
      </c>
      <c r="Z129" s="7">
        <v>0.239597</v>
      </c>
      <c r="AA129" s="7">
        <v>0.24978</v>
      </c>
      <c r="AB129" s="7">
        <v>0.25867600000000002</v>
      </c>
    </row>
    <row r="130" spans="1:28" x14ac:dyDescent="0.3">
      <c r="A130" s="1">
        <v>129</v>
      </c>
      <c r="B130" s="1" t="s">
        <v>195</v>
      </c>
      <c r="C130" s="1" t="s">
        <v>196</v>
      </c>
      <c r="D130" s="2">
        <v>0</v>
      </c>
      <c r="E130" s="2" t="str">
        <f t="shared" si="1"/>
        <v>sensitive</v>
      </c>
      <c r="F130" s="1" t="s">
        <v>76</v>
      </c>
      <c r="G130" s="5">
        <v>491</v>
      </c>
      <c r="H130" s="5">
        <v>806</v>
      </c>
      <c r="I130" s="6">
        <v>3.2830957230142501</v>
      </c>
      <c r="J130" s="5">
        <v>7.7588271216499404E-3</v>
      </c>
      <c r="K130" s="5">
        <v>8.4569732937685396E-2</v>
      </c>
      <c r="L130" s="5">
        <v>-5.8100378882201702E-2</v>
      </c>
      <c r="M130" s="5">
        <v>6.7001953530903199E-3</v>
      </c>
      <c r="N130" s="6">
        <v>490.16668246478997</v>
      </c>
      <c r="O130" s="6">
        <v>0.35511656560032001</v>
      </c>
      <c r="P130" s="5">
        <v>4.2905235478662798</v>
      </c>
      <c r="Q130" s="1">
        <v>2149.3193069306899</v>
      </c>
      <c r="R130" s="1">
        <v>13.682388613861299</v>
      </c>
      <c r="S130" s="7">
        <v>0.14959700000000001</v>
      </c>
      <c r="T130" s="7">
        <v>0.16221099999999999</v>
      </c>
      <c r="U130" s="7">
        <v>0.177504</v>
      </c>
      <c r="V130" s="7">
        <v>0.19456499999999999</v>
      </c>
      <c r="W130" s="7">
        <v>0.212703</v>
      </c>
      <c r="X130" s="7">
        <v>0.22855800000000001</v>
      </c>
      <c r="Y130" s="7">
        <v>0.2427</v>
      </c>
      <c r="Z130" s="7">
        <v>0.25475100000000001</v>
      </c>
      <c r="AA130" s="7">
        <v>0.264872</v>
      </c>
      <c r="AB130" s="7">
        <v>0.27304099999999998</v>
      </c>
    </row>
    <row r="131" spans="1:28" x14ac:dyDescent="0.3">
      <c r="A131" s="1">
        <v>130</v>
      </c>
      <c r="B131" s="1" t="s">
        <v>197</v>
      </c>
      <c r="C131" s="1" t="s">
        <v>191</v>
      </c>
      <c r="D131" s="2">
        <v>0</v>
      </c>
      <c r="E131" s="2" t="str">
        <f t="shared" ref="E131:E141" si="2">IF(D131=0,"sensitive","resilient")</f>
        <v>sensitive</v>
      </c>
      <c r="F131" s="1" t="s">
        <v>76</v>
      </c>
      <c r="G131" s="5">
        <v>757</v>
      </c>
      <c r="H131" s="5">
        <v>1155</v>
      </c>
      <c r="I131" s="6">
        <v>3.05151915455746</v>
      </c>
      <c r="J131" s="5">
        <v>3.7156602916688002E-3</v>
      </c>
      <c r="K131" s="5">
        <v>7.1913703555733094E-2</v>
      </c>
      <c r="L131" s="6">
        <v>2.88342614984347E-2</v>
      </c>
      <c r="M131" s="5">
        <v>4.0364009980918799E-3</v>
      </c>
      <c r="N131" s="6">
        <v>338.97987902878498</v>
      </c>
      <c r="O131" s="6">
        <v>0.25396515677478498</v>
      </c>
      <c r="P131" s="5">
        <v>6.2011332214740804</v>
      </c>
      <c r="Q131" s="1">
        <v>2857.2545612510798</v>
      </c>
      <c r="R131" s="1">
        <v>16.630947002606401</v>
      </c>
      <c r="S131" s="7">
        <v>0.15876000000000001</v>
      </c>
      <c r="T131" s="7">
        <v>0.18226999999999999</v>
      </c>
      <c r="U131" s="7">
        <v>0.192666</v>
      </c>
      <c r="V131" s="7">
        <v>0.20485900000000001</v>
      </c>
      <c r="W131" s="7">
        <v>0.217778</v>
      </c>
      <c r="X131" s="7">
        <v>0.23078499999999999</v>
      </c>
      <c r="Y131" s="7">
        <v>0.242921</v>
      </c>
      <c r="Z131" s="7">
        <v>0.25322299999999998</v>
      </c>
      <c r="AA131" s="7">
        <v>0.26253700000000002</v>
      </c>
      <c r="AB131" s="7">
        <v>0.27063599999999999</v>
      </c>
    </row>
    <row r="132" spans="1:28" x14ac:dyDescent="0.3">
      <c r="A132" s="1">
        <v>131</v>
      </c>
      <c r="B132" s="1" t="s">
        <v>198</v>
      </c>
      <c r="C132" s="1" t="s">
        <v>102</v>
      </c>
      <c r="D132" s="2">
        <v>0</v>
      </c>
      <c r="E132" s="2" t="str">
        <f t="shared" si="2"/>
        <v>sensitive</v>
      </c>
      <c r="F132" s="1" t="s">
        <v>76</v>
      </c>
      <c r="G132" s="5">
        <v>846</v>
      </c>
      <c r="H132" s="5">
        <v>1437</v>
      </c>
      <c r="I132" s="6">
        <v>3.3971631205673698</v>
      </c>
      <c r="J132" s="6">
        <v>1.4204265599484499E-2</v>
      </c>
      <c r="K132" s="5">
        <v>8.3784554003989695E-2</v>
      </c>
      <c r="L132" s="5">
        <v>6.3963334086655693E-2</v>
      </c>
      <c r="M132" s="5">
        <v>4.0203113852868297E-3</v>
      </c>
      <c r="N132" s="6">
        <v>386.18943097735399</v>
      </c>
      <c r="O132" s="6">
        <v>0.38492042038463697</v>
      </c>
      <c r="P132" s="6">
        <v>4.1299604535711403</v>
      </c>
      <c r="Q132" s="1">
        <v>1891.8572418572401</v>
      </c>
      <c r="R132" s="1">
        <v>12.908704088704001</v>
      </c>
      <c r="S132" s="7">
        <v>0.15593699999999999</v>
      </c>
      <c r="T132" s="7">
        <v>0.17100000000000001</v>
      </c>
      <c r="U132" s="7">
        <v>0.19014200000000001</v>
      </c>
      <c r="V132" s="7">
        <v>0.21113999999999999</v>
      </c>
      <c r="W132" s="7">
        <v>0.23125899999999999</v>
      </c>
      <c r="X132" s="7">
        <v>0.24785299999999999</v>
      </c>
      <c r="Y132" s="7">
        <v>0.26129400000000003</v>
      </c>
      <c r="Z132" s="7">
        <v>0.27174999999999999</v>
      </c>
      <c r="AA132" s="7">
        <v>0.28009600000000001</v>
      </c>
      <c r="AB132" s="7">
        <v>0.28654499999999999</v>
      </c>
    </row>
    <row r="133" spans="1:28" x14ac:dyDescent="0.3">
      <c r="A133" s="1">
        <v>132</v>
      </c>
      <c r="B133" s="1" t="s">
        <v>199</v>
      </c>
      <c r="C133" s="1" t="s">
        <v>200</v>
      </c>
      <c r="D133" s="2">
        <v>0</v>
      </c>
      <c r="E133" s="2" t="str">
        <f t="shared" si="2"/>
        <v>sensitive</v>
      </c>
      <c r="F133" s="1" t="s">
        <v>76</v>
      </c>
      <c r="G133" s="5">
        <v>869</v>
      </c>
      <c r="H133" s="5">
        <v>1390</v>
      </c>
      <c r="I133" s="6">
        <v>3.1990794016110402</v>
      </c>
      <c r="J133" s="6">
        <v>1.40517104064886E-2</v>
      </c>
      <c r="K133" s="5">
        <v>7.9605060166615199E-2</v>
      </c>
      <c r="L133" s="6">
        <v>0.124030475874697</v>
      </c>
      <c r="M133" s="5">
        <v>3.6855753474781599E-3</v>
      </c>
      <c r="N133" s="6">
        <v>429.47052961095801</v>
      </c>
      <c r="O133" s="6">
        <v>0.36688588122414301</v>
      </c>
      <c r="P133" s="6">
        <v>4.3589603178790002</v>
      </c>
      <c r="Q133" s="1">
        <v>2777.7095375722502</v>
      </c>
      <c r="R133" s="1">
        <v>16.102673410404599</v>
      </c>
      <c r="S133" s="7">
        <v>0.15206600000000001</v>
      </c>
      <c r="T133" s="7">
        <v>0.16800599999999999</v>
      </c>
      <c r="U133" s="7">
        <v>0.185644</v>
      </c>
      <c r="V133" s="7">
        <v>0.20474600000000001</v>
      </c>
      <c r="W133" s="7">
        <v>0.22228899999999999</v>
      </c>
      <c r="X133" s="7">
        <v>0.23751700000000001</v>
      </c>
      <c r="Y133" s="7">
        <v>0.25019000000000002</v>
      </c>
      <c r="Z133" s="7">
        <v>0.260546</v>
      </c>
      <c r="AA133" s="7">
        <v>0.268845</v>
      </c>
      <c r="AB133" s="7">
        <v>0.27590599999999998</v>
      </c>
    </row>
    <row r="134" spans="1:28" x14ac:dyDescent="0.3">
      <c r="A134" s="1">
        <v>133</v>
      </c>
      <c r="B134" s="1" t="s">
        <v>201</v>
      </c>
      <c r="C134" s="1" t="s">
        <v>191</v>
      </c>
      <c r="D134" s="2">
        <v>0</v>
      </c>
      <c r="E134" s="2" t="str">
        <f t="shared" si="2"/>
        <v>sensitive</v>
      </c>
      <c r="F134" s="1" t="s">
        <v>76</v>
      </c>
      <c r="G134" s="5">
        <v>894</v>
      </c>
      <c r="H134" s="5">
        <v>1314</v>
      </c>
      <c r="I134" s="6">
        <v>2.9395973154362398</v>
      </c>
      <c r="J134" s="5">
        <v>7.8964927338547198E-3</v>
      </c>
      <c r="K134" s="5">
        <v>7.5439200826730904E-2</v>
      </c>
      <c r="L134" s="6">
        <v>3.79076446743934E-2</v>
      </c>
      <c r="M134" s="5">
        <v>3.29182230172031E-3</v>
      </c>
      <c r="N134" s="6">
        <v>340.93534767902003</v>
      </c>
      <c r="O134" s="5">
        <v>0.41554132583641401</v>
      </c>
      <c r="P134" s="6">
        <v>3.6474738555748898</v>
      </c>
      <c r="Q134" s="1">
        <v>2996.56226126814</v>
      </c>
      <c r="R134" s="1">
        <v>16.8642093200916</v>
      </c>
      <c r="S134" s="7">
        <v>0.14538499999999999</v>
      </c>
      <c r="T134" s="7">
        <v>0.15510199999999999</v>
      </c>
      <c r="U134" s="7">
        <v>0.16747799999999999</v>
      </c>
      <c r="V134" s="7">
        <v>0.18279300000000001</v>
      </c>
      <c r="W134" s="7">
        <v>0.19697500000000001</v>
      </c>
      <c r="X134" s="7">
        <v>0.21179500000000001</v>
      </c>
      <c r="Y134" s="7">
        <v>0.22564300000000001</v>
      </c>
      <c r="Z134" s="7">
        <v>0.23824600000000001</v>
      </c>
      <c r="AA134" s="7">
        <v>0.248588</v>
      </c>
      <c r="AB134" s="7">
        <v>0.25713599999999998</v>
      </c>
    </row>
    <row r="135" spans="1:28" x14ac:dyDescent="0.3">
      <c r="A135" s="1">
        <v>134</v>
      </c>
      <c r="B135" s="1" t="s">
        <v>202</v>
      </c>
      <c r="C135" s="1" t="s">
        <v>191</v>
      </c>
      <c r="D135" s="2">
        <v>0</v>
      </c>
      <c r="E135" s="2" t="str">
        <f t="shared" si="2"/>
        <v>sensitive</v>
      </c>
      <c r="F135" s="1" t="s">
        <v>76</v>
      </c>
      <c r="G135" s="5">
        <v>673</v>
      </c>
      <c r="H135" s="5">
        <v>956</v>
      </c>
      <c r="I135" s="6">
        <v>2.8410104011886999</v>
      </c>
      <c r="J135" s="5">
        <v>6.8163041492701202E-3</v>
      </c>
      <c r="K135" s="5">
        <v>9.4320486815415799E-2</v>
      </c>
      <c r="L135" s="5">
        <v>6.1068732607092599E-2</v>
      </c>
      <c r="M135" s="5">
        <v>4.22769404938795E-3</v>
      </c>
      <c r="N135" s="6">
        <v>290.27833264740002</v>
      </c>
      <c r="O135" s="5">
        <v>0.38317818617511501</v>
      </c>
      <c r="P135" s="6">
        <v>3.9534453714098698</v>
      </c>
      <c r="Q135" s="1">
        <v>3007.56784968684</v>
      </c>
      <c r="R135" s="1">
        <v>16.924290187891401</v>
      </c>
      <c r="S135" s="7">
        <v>0.14070199999999999</v>
      </c>
      <c r="T135" s="7">
        <v>0.155863</v>
      </c>
      <c r="U135" s="7">
        <v>0.178871</v>
      </c>
      <c r="V135" s="7">
        <v>0.197994</v>
      </c>
      <c r="W135" s="7">
        <v>0.21709600000000001</v>
      </c>
      <c r="X135" s="7">
        <v>0.23386799999999999</v>
      </c>
      <c r="Y135" s="7">
        <v>0.24893000000000001</v>
      </c>
      <c r="Z135" s="7">
        <v>0.26126899999999997</v>
      </c>
      <c r="AA135" s="7">
        <v>0.27099800000000002</v>
      </c>
      <c r="AB135" s="7">
        <v>0.27864899999999998</v>
      </c>
    </row>
    <row r="136" spans="1:28" x14ac:dyDescent="0.3">
      <c r="A136" s="1">
        <v>135</v>
      </c>
      <c r="B136" s="1" t="s">
        <v>203</v>
      </c>
      <c r="C136" s="1" t="s">
        <v>87</v>
      </c>
      <c r="D136" s="2">
        <v>0</v>
      </c>
      <c r="E136" s="2" t="str">
        <f t="shared" si="2"/>
        <v>sensitive</v>
      </c>
      <c r="F136" s="1" t="s">
        <v>76</v>
      </c>
      <c r="G136" s="5">
        <v>876</v>
      </c>
      <c r="H136" s="5">
        <v>1395</v>
      </c>
      <c r="I136" s="6">
        <v>3.1849315068493098</v>
      </c>
      <c r="J136" s="5">
        <v>4.8916800617538198E-3</v>
      </c>
      <c r="K136" s="5">
        <v>8.0035180299032505E-2</v>
      </c>
      <c r="L136" s="6">
        <v>0.13599042056041899</v>
      </c>
      <c r="M136" s="5">
        <v>3.6399217221135E-3</v>
      </c>
      <c r="N136" s="6">
        <v>351.74892578124701</v>
      </c>
      <c r="O136" s="6">
        <v>0.36038165582467702</v>
      </c>
      <c r="P136" s="6">
        <v>4.3859191988416404</v>
      </c>
      <c r="Q136" s="1">
        <v>1896.3571428571399</v>
      </c>
      <c r="R136" s="1">
        <v>12.7893285714285</v>
      </c>
      <c r="S136" s="7">
        <v>0.16344600000000001</v>
      </c>
      <c r="T136" s="7">
        <v>0.18179200000000001</v>
      </c>
      <c r="U136" s="7">
        <v>0.200932</v>
      </c>
      <c r="V136" s="7">
        <v>0.21964900000000001</v>
      </c>
      <c r="W136" s="7">
        <v>0.23527200000000001</v>
      </c>
      <c r="X136" s="7">
        <v>0.248223</v>
      </c>
      <c r="Y136" s="7">
        <v>0.259077</v>
      </c>
      <c r="Z136" s="7">
        <v>0.26801599999999998</v>
      </c>
      <c r="AA136" s="7">
        <v>0.27561200000000002</v>
      </c>
      <c r="AB136" s="7">
        <v>0.28211999999999998</v>
      </c>
    </row>
    <row r="137" spans="1:28" x14ac:dyDescent="0.3">
      <c r="A137" s="1">
        <v>136</v>
      </c>
      <c r="B137" s="1" t="s">
        <v>204</v>
      </c>
      <c r="C137" s="1" t="s">
        <v>205</v>
      </c>
      <c r="D137" s="2">
        <v>0</v>
      </c>
      <c r="E137" s="2" t="str">
        <f t="shared" si="2"/>
        <v>sensitive</v>
      </c>
      <c r="F137" s="1" t="s">
        <v>76</v>
      </c>
      <c r="G137" s="5">
        <v>852</v>
      </c>
      <c r="H137" s="5">
        <v>1383</v>
      </c>
      <c r="I137" s="6">
        <v>3.2464788732394299</v>
      </c>
      <c r="J137" s="5">
        <v>6.6743826058285197E-3</v>
      </c>
      <c r="K137" s="5">
        <v>6.89338235294117E-2</v>
      </c>
      <c r="L137" s="5">
        <v>4.3165600547950198E-2</v>
      </c>
      <c r="M137" s="5">
        <v>3.8148987934658401E-3</v>
      </c>
      <c r="N137" s="6">
        <v>368.642033323031</v>
      </c>
      <c r="O137" s="6">
        <v>0.37794159186197301</v>
      </c>
      <c r="P137" s="6">
        <v>4.1443054412968801</v>
      </c>
      <c r="Q137" s="1">
        <v>1992.78499278499</v>
      </c>
      <c r="R137" s="1">
        <v>13.187106782106699</v>
      </c>
      <c r="S137" s="7">
        <v>0.15778500000000001</v>
      </c>
      <c r="T137" s="7">
        <v>0.175009</v>
      </c>
      <c r="U137" s="7">
        <v>0.19638600000000001</v>
      </c>
      <c r="V137" s="7">
        <v>0.215338</v>
      </c>
      <c r="W137" s="7">
        <v>0.234157</v>
      </c>
      <c r="X137" s="7">
        <v>0.24871099999999999</v>
      </c>
      <c r="Y137" s="7">
        <v>0.26035199999999997</v>
      </c>
      <c r="Z137" s="7">
        <v>0.27074100000000001</v>
      </c>
      <c r="AA137" s="7">
        <v>0.27998299999999998</v>
      </c>
      <c r="AB137" s="7">
        <v>0.287325</v>
      </c>
    </row>
    <row r="138" spans="1:28" x14ac:dyDescent="0.3">
      <c r="A138" s="1">
        <v>137</v>
      </c>
      <c r="B138" s="1" t="s">
        <v>206</v>
      </c>
      <c r="C138" s="1" t="s">
        <v>87</v>
      </c>
      <c r="D138" s="2">
        <v>0</v>
      </c>
      <c r="E138" s="2" t="str">
        <f t="shared" si="2"/>
        <v>sensitive</v>
      </c>
      <c r="F138" s="1" t="s">
        <v>76</v>
      </c>
      <c r="G138" s="5">
        <v>900</v>
      </c>
      <c r="H138" s="5">
        <v>1543</v>
      </c>
      <c r="I138" s="6">
        <v>3.42888888888888</v>
      </c>
      <c r="J138" s="5">
        <v>7.5529167610225304E-3</v>
      </c>
      <c r="K138" s="5">
        <v>7.0277078085642306E-2</v>
      </c>
      <c r="L138" s="6">
        <v>0.11793322686916199</v>
      </c>
      <c r="M138" s="5">
        <v>3.8141144481522601E-3</v>
      </c>
      <c r="N138" s="6">
        <v>341.09467503380102</v>
      </c>
      <c r="O138" s="6">
        <v>0.31117081060594198</v>
      </c>
      <c r="P138" s="6">
        <v>5.25093173614784</v>
      </c>
      <c r="Q138" s="1">
        <v>1982.4805699481799</v>
      </c>
      <c r="R138" s="1">
        <v>13.100369170984401</v>
      </c>
      <c r="S138" s="7">
        <v>0.16614699999999999</v>
      </c>
      <c r="T138" s="7">
        <v>0.194407</v>
      </c>
      <c r="U138" s="7">
        <v>0.21582399999999999</v>
      </c>
      <c r="V138" s="7">
        <v>0.23131699999999999</v>
      </c>
      <c r="W138" s="7">
        <v>0.24367900000000001</v>
      </c>
      <c r="X138" s="7">
        <v>0.25326399999999999</v>
      </c>
      <c r="Y138" s="7">
        <v>0.26143899999999998</v>
      </c>
      <c r="Z138" s="7">
        <v>0.268179</v>
      </c>
      <c r="AA138" s="7">
        <v>0.27442</v>
      </c>
      <c r="AB138" s="7">
        <v>0.27993699999999999</v>
      </c>
    </row>
    <row r="139" spans="1:28" x14ac:dyDescent="0.3">
      <c r="A139" s="1">
        <v>138</v>
      </c>
      <c r="B139" s="1" t="s">
        <v>207</v>
      </c>
      <c r="C139" s="1" t="s">
        <v>208</v>
      </c>
      <c r="D139" s="2">
        <v>0</v>
      </c>
      <c r="E139" s="2" t="str">
        <f t="shared" si="2"/>
        <v>sensitive</v>
      </c>
      <c r="F139" s="1" t="s">
        <v>76</v>
      </c>
      <c r="G139" s="5">
        <v>987</v>
      </c>
      <c r="H139" s="5">
        <v>1459</v>
      </c>
      <c r="I139" s="6">
        <v>2.9564336372847002</v>
      </c>
      <c r="J139" s="6">
        <v>1.12695848624413E-2</v>
      </c>
      <c r="K139" s="5">
        <v>6.3971992361553098E-2</v>
      </c>
      <c r="L139" s="5">
        <v>5.5194264199792897E-2</v>
      </c>
      <c r="M139" s="5">
        <v>2.9984113968404601E-3</v>
      </c>
      <c r="N139" s="6">
        <v>290.69459027787599</v>
      </c>
      <c r="O139" s="5">
        <v>0.36834681799313901</v>
      </c>
      <c r="P139" s="6">
        <v>4.0944249456100099</v>
      </c>
      <c r="Q139" s="1">
        <v>2915.4346338124501</v>
      </c>
      <c r="R139" s="1">
        <v>16.276639288158702</v>
      </c>
      <c r="S139" s="7">
        <v>0.146817</v>
      </c>
      <c r="T139" s="7">
        <v>0.15839200000000001</v>
      </c>
      <c r="U139" s="7">
        <v>0.171121</v>
      </c>
      <c r="V139" s="7">
        <v>0.18634999999999999</v>
      </c>
      <c r="W139" s="7">
        <v>0.199958</v>
      </c>
      <c r="X139" s="7">
        <v>0.21342900000000001</v>
      </c>
      <c r="Y139" s="7">
        <v>0.22453699999999999</v>
      </c>
      <c r="Z139" s="7">
        <v>0.23558699999999999</v>
      </c>
      <c r="AA139" s="7">
        <v>0.24529500000000001</v>
      </c>
      <c r="AB139" s="7">
        <v>0.25396400000000002</v>
      </c>
    </row>
    <row r="140" spans="1:28" x14ac:dyDescent="0.3">
      <c r="A140" s="1">
        <v>139</v>
      </c>
      <c r="B140" s="1" t="s">
        <v>209</v>
      </c>
      <c r="C140" s="1" t="s">
        <v>191</v>
      </c>
      <c r="D140" s="2">
        <v>0</v>
      </c>
      <c r="E140" s="2" t="str">
        <f t="shared" si="2"/>
        <v>sensitive</v>
      </c>
      <c r="F140" s="1" t="s">
        <v>76</v>
      </c>
      <c r="G140" s="5">
        <v>194</v>
      </c>
      <c r="H140" s="5">
        <v>268</v>
      </c>
      <c r="I140" s="6">
        <v>2.7628865979381398</v>
      </c>
      <c r="J140" s="6">
        <v>1.4888458764087001E-2</v>
      </c>
      <c r="K140" s="5">
        <v>7.4712643678160898E-2</v>
      </c>
      <c r="L140" s="6">
        <v>0.15812627445057001</v>
      </c>
      <c r="M140" s="6">
        <v>1.4315474600715699E-2</v>
      </c>
      <c r="N140" s="6">
        <v>359.84650098578902</v>
      </c>
      <c r="O140" s="6">
        <v>0.33072363846978797</v>
      </c>
      <c r="P140" s="5">
        <v>5.6638474848731999</v>
      </c>
      <c r="Q140" s="1">
        <v>3008.95522388059</v>
      </c>
      <c r="R140" s="1">
        <v>17.000820895522299</v>
      </c>
      <c r="S140" s="7">
        <v>0.196492</v>
      </c>
      <c r="T140" s="7">
        <v>0.23578399999999999</v>
      </c>
      <c r="U140" s="7">
        <v>0.258239</v>
      </c>
      <c r="V140" s="7">
        <v>0.274364</v>
      </c>
      <c r="W140" s="7">
        <v>0.28741899999999998</v>
      </c>
      <c r="X140" s="7">
        <v>0.29606399999999999</v>
      </c>
      <c r="Y140" s="7">
        <v>0.30164299999999999</v>
      </c>
      <c r="Z140" s="7">
        <v>0.30533700000000003</v>
      </c>
      <c r="AA140" s="7">
        <v>0.30801600000000001</v>
      </c>
      <c r="AB140" s="7">
        <v>0.30998300000000001</v>
      </c>
    </row>
    <row r="141" spans="1:28" x14ac:dyDescent="0.3">
      <c r="A141" s="1">
        <v>140</v>
      </c>
      <c r="B141" s="1" t="s">
        <v>210</v>
      </c>
      <c r="C141" s="1" t="s">
        <v>98</v>
      </c>
      <c r="D141" s="2">
        <v>0</v>
      </c>
      <c r="E141" s="2" t="str">
        <f t="shared" si="2"/>
        <v>sensitive</v>
      </c>
      <c r="F141" s="1" t="s">
        <v>76</v>
      </c>
      <c r="G141" s="5">
        <v>930</v>
      </c>
      <c r="H141" s="5">
        <v>1617</v>
      </c>
      <c r="I141" s="5">
        <v>3.4774193548387098</v>
      </c>
      <c r="J141" s="5">
        <v>1.01338869881936E-2</v>
      </c>
      <c r="K141" s="5">
        <v>9.3253511397651395E-2</v>
      </c>
      <c r="L141" s="5">
        <v>8.7622441840125895E-2</v>
      </c>
      <c r="M141" s="5">
        <v>3.7431855272752499E-3</v>
      </c>
      <c r="N141" s="6">
        <v>402.91459956934199</v>
      </c>
      <c r="O141" s="6">
        <v>0.36818980239449201</v>
      </c>
      <c r="P141" s="6">
        <v>4.27557268135575</v>
      </c>
      <c r="Q141" s="1">
        <v>2437.71551724137</v>
      </c>
      <c r="R141" s="1">
        <v>13.754864532019701</v>
      </c>
      <c r="S141" s="7">
        <v>0.14291499999999999</v>
      </c>
      <c r="T141" s="7">
        <v>0.15270500000000001</v>
      </c>
      <c r="U141" s="7">
        <v>0.16605300000000001</v>
      </c>
      <c r="V141" s="7">
        <v>0.17751900000000001</v>
      </c>
      <c r="W141" s="7">
        <v>0.189416</v>
      </c>
      <c r="X141" s="7">
        <v>0.201261</v>
      </c>
      <c r="Y141" s="7">
        <v>0.21206700000000001</v>
      </c>
      <c r="Z141" s="7">
        <v>0.22170599999999999</v>
      </c>
      <c r="AA141" s="7">
        <v>0.23047899999999999</v>
      </c>
      <c r="AB141" s="7">
        <v>0.23844199999999999</v>
      </c>
    </row>
    <row r="142" spans="1:28" x14ac:dyDescent="0.25"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S143" s="1"/>
      <c r="T143" s="1"/>
      <c r="U143" s="1"/>
      <c r="V143" s="1"/>
      <c r="W143" s="1"/>
      <c r="X143" s="1"/>
      <c r="Y143" s="1"/>
      <c r="Z143" s="1"/>
      <c r="AA143" s="1"/>
      <c r="AB143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忧怜思悟</dc:creator>
  <cp:lastModifiedBy>wang0413</cp:lastModifiedBy>
  <dcterms:created xsi:type="dcterms:W3CDTF">2023-05-12T11:15:00Z</dcterms:created>
  <dcterms:modified xsi:type="dcterms:W3CDTF">2026-05-24T18:42:25Z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ADBC1B340F9C49319FD11240E07190D5_12</vt:lpwstr>
  </property>
</Properties>
</file>